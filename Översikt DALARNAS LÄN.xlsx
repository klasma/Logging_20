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45706</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45706</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45706</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45706</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45706</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45706</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45706</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45706</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45706</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45706</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45706</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45706</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45706</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45706</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45706</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45706</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45706</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45706</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45706</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45706</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45706</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45706</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45706</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45706</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45706</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45706</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45706</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45706</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45706</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45706</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45706</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45706</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45706</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45706</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45706</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45706</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45706</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45706</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45706</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45706</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45706</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45706</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45706</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45706</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45706</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45706</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45706</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45706</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45706</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45706</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45706</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45706</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45706</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45706</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45706</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45706</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45706</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45706</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45706</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45706</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45706</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45706</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45706</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45706</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45706</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45706</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45706</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45706</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45706</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45706</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45706</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45706</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45706</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45706</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45706</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45706</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45706</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45706</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45706</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45706</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45706</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45706</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45706</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45706</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45706</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45706</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45706</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45706</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45706</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45706</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45706</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45706</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45706</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45706</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45706</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45706</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45706</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45706</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45706</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45706</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45706</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45706</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45706</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45706</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45706</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45706</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45706</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45706</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45706</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45706</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45706</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45706</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45706</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45706</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45706</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45706</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45706</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45706</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45706</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2121-2025</t>
        </is>
      </c>
      <c r="B145" s="1" t="n">
        <v>45672</v>
      </c>
      <c r="C145" s="1" t="n">
        <v>45706</v>
      </c>
      <c r="D145" t="inlineStr">
        <is>
          <t>DALARNAS LÄN</t>
        </is>
      </c>
      <c r="E145" t="inlineStr">
        <is>
          <t>ORSA</t>
        </is>
      </c>
      <c r="G145" t="n">
        <v>16</v>
      </c>
      <c r="H145" t="n">
        <v>2</v>
      </c>
      <c r="I145" t="n">
        <v>2</v>
      </c>
      <c r="J145" t="n">
        <v>6</v>
      </c>
      <c r="K145" t="n">
        <v>0</v>
      </c>
      <c r="L145" t="n">
        <v>0</v>
      </c>
      <c r="M145" t="n">
        <v>0</v>
      </c>
      <c r="N145" t="n">
        <v>0</v>
      </c>
      <c r="O145" t="n">
        <v>6</v>
      </c>
      <c r="P145" t="n">
        <v>0</v>
      </c>
      <c r="Q145" t="n">
        <v>9</v>
      </c>
      <c r="R145" s="2" t="inlineStr">
        <is>
          <t>Garnlav
Kolflarnlav
Mörk kolflarnlav
Spillkråka
Tallticka
Vedskivlav
Mindre märgborre
Nästlav
Tjäder</t>
        </is>
      </c>
      <c r="S145">
        <f>HYPERLINK("https://klasma.github.io/Logging_2034/artfynd/A 2121-2025 artfynd.xlsx", "A 2121-2025")</f>
        <v/>
      </c>
      <c r="T145">
        <f>HYPERLINK("https://klasma.github.io/Logging_2034/kartor/A 2121-2025 karta.png", "A 2121-2025")</f>
        <v/>
      </c>
      <c r="V145">
        <f>HYPERLINK("https://klasma.github.io/Logging_2034/klagomål/A 2121-2025 FSC-klagomål.docx", "A 2121-2025")</f>
        <v/>
      </c>
      <c r="W145">
        <f>HYPERLINK("https://klasma.github.io/Logging_2034/klagomålsmail/A 2121-2025 FSC-klagomål mail.docx", "A 2121-2025")</f>
        <v/>
      </c>
      <c r="X145">
        <f>HYPERLINK("https://klasma.github.io/Logging_2034/tillsyn/A 2121-2025 tillsynsbegäran.docx", "A 2121-2025")</f>
        <v/>
      </c>
      <c r="Y145">
        <f>HYPERLINK("https://klasma.github.io/Logging_2034/tillsynsmail/A 2121-2025 tillsynsbegäran mail.docx", "A 2121-2025")</f>
        <v/>
      </c>
      <c r="Z145">
        <f>HYPERLINK("https://klasma.github.io/Logging_2034/fåglar/A 2121-2025 prioriterade fågelarter.docx", "A 2121-2025")</f>
        <v/>
      </c>
    </row>
    <row r="146" ht="15" customHeight="1">
      <c r="A146" t="inlineStr">
        <is>
          <t>A 41607-2020</t>
        </is>
      </c>
      <c r="B146" s="1" t="n">
        <v>44070</v>
      </c>
      <c r="C146" s="1" t="n">
        <v>45706</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45706</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45706</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45706</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45706</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45706</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45706</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45706</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45706</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45706</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45706</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14785-2023</t>
        </is>
      </c>
      <c r="B157" s="1" t="n">
        <v>45014</v>
      </c>
      <c r="C157" s="1" t="n">
        <v>45706</v>
      </c>
      <c r="D157" t="inlineStr">
        <is>
          <t>DALARNAS LÄN</t>
        </is>
      </c>
      <c r="E157" t="inlineStr">
        <is>
          <t>AVESTA</t>
        </is>
      </c>
      <c r="G157" t="n">
        <v>6.7</v>
      </c>
      <c r="H157" t="n">
        <v>1</v>
      </c>
      <c r="I157" t="n">
        <v>4</v>
      </c>
      <c r="J157" t="n">
        <v>0</v>
      </c>
      <c r="K157" t="n">
        <v>0</v>
      </c>
      <c r="L157" t="n">
        <v>4</v>
      </c>
      <c r="M157" t="n">
        <v>0</v>
      </c>
      <c r="N157" t="n">
        <v>0</v>
      </c>
      <c r="O157" t="n">
        <v>4</v>
      </c>
      <c r="P157" t="n">
        <v>4</v>
      </c>
      <c r="Q157" t="n">
        <v>8</v>
      </c>
      <c r="R157" s="2" t="inlineStr">
        <is>
          <t>Gråblå skinnlav
Mikroskapania
Svämskapania
Timmerskapania
Korallblylav
Piskbaronmossa
Skinnlav
Trubbfjädermossa</t>
        </is>
      </c>
      <c r="S157">
        <f>HYPERLINK("https://klasma.github.io/Logging_2084/artfynd/A 14785-2023 artfynd.xlsx", "A 14785-2023")</f>
        <v/>
      </c>
      <c r="T157">
        <f>HYPERLINK("https://klasma.github.io/Logging_2084/kartor/A 14785-2023 karta.png", "A 14785-2023")</f>
        <v/>
      </c>
      <c r="V157">
        <f>HYPERLINK("https://klasma.github.io/Logging_2084/klagomål/A 14785-2023 FSC-klagomål.docx", "A 14785-2023")</f>
        <v/>
      </c>
      <c r="W157">
        <f>HYPERLINK("https://klasma.github.io/Logging_2084/klagomålsmail/A 14785-2023 FSC-klagomål mail.docx", "A 14785-2023")</f>
        <v/>
      </c>
      <c r="X157">
        <f>HYPERLINK("https://klasma.github.io/Logging_2084/tillsyn/A 14785-2023 tillsynsbegäran.docx", "A 14785-2023")</f>
        <v/>
      </c>
      <c r="Y157">
        <f>HYPERLINK("https://klasma.github.io/Logging_2084/tillsynsmail/A 14785-2023 tillsynsbegäran mail.docx", "A 14785-2023")</f>
        <v/>
      </c>
    </row>
    <row r="158" ht="15" customHeight="1">
      <c r="A158" t="inlineStr">
        <is>
          <t>A 57812-2023</t>
        </is>
      </c>
      <c r="B158" s="1" t="n">
        <v>45247</v>
      </c>
      <c r="C158" s="1" t="n">
        <v>45706</v>
      </c>
      <c r="D158" t="inlineStr">
        <is>
          <t>DALARNAS LÄN</t>
        </is>
      </c>
      <c r="E158" t="inlineStr">
        <is>
          <t>LEKSAND</t>
        </is>
      </c>
      <c r="G158" t="n">
        <v>0.9</v>
      </c>
      <c r="H158" t="n">
        <v>5</v>
      </c>
      <c r="I158" t="n">
        <v>1</v>
      </c>
      <c r="J158" t="n">
        <v>5</v>
      </c>
      <c r="K158" t="n">
        <v>1</v>
      </c>
      <c r="L158" t="n">
        <v>0</v>
      </c>
      <c r="M158" t="n">
        <v>0</v>
      </c>
      <c r="N158" t="n">
        <v>0</v>
      </c>
      <c r="O158" t="n">
        <v>6</v>
      </c>
      <c r="P158" t="n">
        <v>1</v>
      </c>
      <c r="Q158" t="n">
        <v>8</v>
      </c>
      <c r="R158" s="2" t="inlineStr">
        <is>
          <t>Knärot
Garnlav
Spillkråka
Talltita
Tretåig hackspett
Ullticka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64719-2023</t>
        </is>
      </c>
      <c r="B159" s="1" t="n">
        <v>45281</v>
      </c>
      <c r="C159" s="1" t="n">
        <v>45706</v>
      </c>
      <c r="D159" t="inlineStr">
        <is>
          <t>DALARNAS LÄN</t>
        </is>
      </c>
      <c r="E159" t="inlineStr">
        <is>
          <t>BORLÄNGE</t>
        </is>
      </c>
      <c r="G159" t="n">
        <v>16.5</v>
      </c>
      <c r="H159" t="n">
        <v>2</v>
      </c>
      <c r="I159" t="n">
        <v>4</v>
      </c>
      <c r="J159" t="n">
        <v>2</v>
      </c>
      <c r="K159" t="n">
        <v>1</v>
      </c>
      <c r="L159" t="n">
        <v>0</v>
      </c>
      <c r="M159" t="n">
        <v>0</v>
      </c>
      <c r="N159" t="n">
        <v>0</v>
      </c>
      <c r="O159" t="n">
        <v>3</v>
      </c>
      <c r="P159" t="n">
        <v>1</v>
      </c>
      <c r="Q159" t="n">
        <v>8</v>
      </c>
      <c r="R159" s="2" t="inlineStr">
        <is>
          <t>Knärot
Orange taggsvamp
Ullticka
Bronshjon
Fjällig taggsvamp s.str.
Gullgröppa
Vedticka
Revlummer</t>
        </is>
      </c>
      <c r="S159">
        <f>HYPERLINK("https://klasma.github.io/Logging_2081/artfynd/A 64719-2023 artfynd.xlsx", "A 64719-2023")</f>
        <v/>
      </c>
      <c r="T159">
        <f>HYPERLINK("https://klasma.github.io/Logging_2081/kartor/A 64719-2023 karta.png", "A 64719-2023")</f>
        <v/>
      </c>
      <c r="U159">
        <f>HYPERLINK("https://klasma.github.io/Logging_2081/knärot/A 64719-2023 karta knärot.png", "A 64719-2023")</f>
        <v/>
      </c>
      <c r="V159">
        <f>HYPERLINK("https://klasma.github.io/Logging_2081/klagomål/A 64719-2023 FSC-klagomål.docx", "A 64719-2023")</f>
        <v/>
      </c>
      <c r="W159">
        <f>HYPERLINK("https://klasma.github.io/Logging_2081/klagomålsmail/A 64719-2023 FSC-klagomål mail.docx", "A 64719-2023")</f>
        <v/>
      </c>
      <c r="X159">
        <f>HYPERLINK("https://klasma.github.io/Logging_2081/tillsyn/A 64719-2023 tillsynsbegäran.docx", "A 64719-2023")</f>
        <v/>
      </c>
      <c r="Y159">
        <f>HYPERLINK("https://klasma.github.io/Logging_2081/tillsynsmail/A 64719-2023 tillsynsbegäran mail.docx", "A 64719-2023")</f>
        <v/>
      </c>
    </row>
    <row r="160" ht="15" customHeight="1">
      <c r="A160" t="inlineStr">
        <is>
          <t>A 17715-2024</t>
        </is>
      </c>
      <c r="B160" s="1" t="n">
        <v>45415</v>
      </c>
      <c r="C160" s="1" t="n">
        <v>45706</v>
      </c>
      <c r="D160" t="inlineStr">
        <is>
          <t>DALARNAS LÄN</t>
        </is>
      </c>
      <c r="E160" t="inlineStr">
        <is>
          <t>ÄLVDALEN</t>
        </is>
      </c>
      <c r="F160" t="inlineStr">
        <is>
          <t>Övriga statliga verk och myndigheter</t>
        </is>
      </c>
      <c r="G160" t="n">
        <v>19.2</v>
      </c>
      <c r="H160" t="n">
        <v>1</v>
      </c>
      <c r="I160" t="n">
        <v>1</v>
      </c>
      <c r="J160" t="n">
        <v>6</v>
      </c>
      <c r="K160" t="n">
        <v>0</v>
      </c>
      <c r="L160" t="n">
        <v>0</v>
      </c>
      <c r="M160" t="n">
        <v>0</v>
      </c>
      <c r="N160" t="n">
        <v>0</v>
      </c>
      <c r="O160" t="n">
        <v>6</v>
      </c>
      <c r="P160" t="n">
        <v>0</v>
      </c>
      <c r="Q160" t="n">
        <v>8</v>
      </c>
      <c r="R160" s="2" t="inlineStr">
        <is>
          <t>Dvärgbägarlav
Kolflarnlav
Mörk kolflarnlav
Reliktbock
Vedflamlav
Vedskivlav
Dropptaggsvamp
Tjäder</t>
        </is>
      </c>
      <c r="S160">
        <f>HYPERLINK("https://klasma.github.io/Logging_2039/artfynd/A 17715-2024 artfynd.xlsx", "A 17715-2024")</f>
        <v/>
      </c>
      <c r="T160">
        <f>HYPERLINK("https://klasma.github.io/Logging_2039/kartor/A 17715-2024 karta.png", "A 17715-2024")</f>
        <v/>
      </c>
      <c r="V160">
        <f>HYPERLINK("https://klasma.github.io/Logging_2039/klagomål/A 17715-2024 FSC-klagomål.docx", "A 17715-2024")</f>
        <v/>
      </c>
      <c r="W160">
        <f>HYPERLINK("https://klasma.github.io/Logging_2039/klagomålsmail/A 17715-2024 FSC-klagomål mail.docx", "A 17715-2024")</f>
        <v/>
      </c>
      <c r="X160">
        <f>HYPERLINK("https://klasma.github.io/Logging_2039/tillsyn/A 17715-2024 tillsynsbegäran.docx", "A 17715-2024")</f>
        <v/>
      </c>
      <c r="Y160">
        <f>HYPERLINK("https://klasma.github.io/Logging_2039/tillsynsmail/A 17715-2024 tillsynsbegäran mail.docx", "A 17715-2024")</f>
        <v/>
      </c>
      <c r="Z160">
        <f>HYPERLINK("https://klasma.github.io/Logging_2039/fåglar/A 17715-2024 prioriterade fågelarter.docx", "A 17715-2024")</f>
        <v/>
      </c>
    </row>
    <row r="161" ht="15" customHeight="1">
      <c r="A161" t="inlineStr">
        <is>
          <t>A 17767-2024</t>
        </is>
      </c>
      <c r="B161" s="1" t="n">
        <v>45415</v>
      </c>
      <c r="C161" s="1" t="n">
        <v>45706</v>
      </c>
      <c r="D161" t="inlineStr">
        <is>
          <t>DALARNAS LÄN</t>
        </is>
      </c>
      <c r="E161" t="inlineStr">
        <is>
          <t>ÄLVDALEN</t>
        </is>
      </c>
      <c r="F161" t="inlineStr">
        <is>
          <t>Övriga statliga verk och myndigheter</t>
        </is>
      </c>
      <c r="G161" t="n">
        <v>15.9</v>
      </c>
      <c r="H161" t="n">
        <v>0</v>
      </c>
      <c r="I161" t="n">
        <v>1</v>
      </c>
      <c r="J161" t="n">
        <v>6</v>
      </c>
      <c r="K161" t="n">
        <v>1</v>
      </c>
      <c r="L161" t="n">
        <v>0</v>
      </c>
      <c r="M161" t="n">
        <v>0</v>
      </c>
      <c r="N161" t="n">
        <v>0</v>
      </c>
      <c r="O161" t="n">
        <v>7</v>
      </c>
      <c r="P161" t="n">
        <v>1</v>
      </c>
      <c r="Q161" t="n">
        <v>8</v>
      </c>
      <c r="R161" s="2" t="inlineStr">
        <is>
          <t>Spadskinn
Dvärgbägarlav
Garnlav
Kolflarnlav
Mörk kolflarnlav
Vedflamlav
Vedskivlav
Dropptaggsvamp</t>
        </is>
      </c>
      <c r="S161">
        <f>HYPERLINK("https://klasma.github.io/Logging_2039/artfynd/A 17767-2024 artfynd.xlsx", "A 17767-2024")</f>
        <v/>
      </c>
      <c r="T161">
        <f>HYPERLINK("https://klasma.github.io/Logging_2039/kartor/A 17767-2024 karta.png", "A 17767-2024")</f>
        <v/>
      </c>
      <c r="V161">
        <f>HYPERLINK("https://klasma.github.io/Logging_2039/klagomål/A 17767-2024 FSC-klagomål.docx", "A 17767-2024")</f>
        <v/>
      </c>
      <c r="W161">
        <f>HYPERLINK("https://klasma.github.io/Logging_2039/klagomålsmail/A 17767-2024 FSC-klagomål mail.docx", "A 17767-2024")</f>
        <v/>
      </c>
      <c r="X161">
        <f>HYPERLINK("https://klasma.github.io/Logging_2039/tillsyn/A 17767-2024 tillsynsbegäran.docx", "A 17767-2024")</f>
        <v/>
      </c>
      <c r="Y161">
        <f>HYPERLINK("https://klasma.github.io/Logging_2039/tillsynsmail/A 17767-2024 tillsynsbegäran mail.docx", "A 17767-2024")</f>
        <v/>
      </c>
    </row>
    <row r="162" ht="15" customHeight="1">
      <c r="A162" t="inlineStr">
        <is>
          <t>A 29287-2024</t>
        </is>
      </c>
      <c r="B162" s="1" t="n">
        <v>45483</v>
      </c>
      <c r="C162" s="1" t="n">
        <v>45706</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31359-2024</t>
        </is>
      </c>
      <c r="B163" s="1" t="n">
        <v>45505</v>
      </c>
      <c r="C163" s="1" t="n">
        <v>45706</v>
      </c>
      <c r="D163" t="inlineStr">
        <is>
          <t>DALARNAS LÄN</t>
        </is>
      </c>
      <c r="E163" t="inlineStr">
        <is>
          <t>FALUN</t>
        </is>
      </c>
      <c r="F163" t="inlineStr">
        <is>
          <t>Bergvik skog väst AB</t>
        </is>
      </c>
      <c r="G163" t="n">
        <v>1.6</v>
      </c>
      <c r="H163" t="n">
        <v>3</v>
      </c>
      <c r="I163" t="n">
        <v>4</v>
      </c>
      <c r="J163" t="n">
        <v>3</v>
      </c>
      <c r="K163" t="n">
        <v>1</v>
      </c>
      <c r="L163" t="n">
        <v>0</v>
      </c>
      <c r="M163" t="n">
        <v>0</v>
      </c>
      <c r="N163" t="n">
        <v>0</v>
      </c>
      <c r="O163" t="n">
        <v>4</v>
      </c>
      <c r="P163" t="n">
        <v>1</v>
      </c>
      <c r="Q163" t="n">
        <v>8</v>
      </c>
      <c r="R163" s="2" t="inlineStr">
        <is>
          <t>Knärot
Järpe
Svart taggsvamp
Tretåig hackspett
Dropptaggsvamp
Mindre märgborre
Vågbandad barkbock
Zontaggsvamp</t>
        </is>
      </c>
      <c r="S163">
        <f>HYPERLINK("https://klasma.github.io/Logging_2080/artfynd/A 31359-2024 artfynd.xlsx", "A 31359-2024")</f>
        <v/>
      </c>
      <c r="T163">
        <f>HYPERLINK("https://klasma.github.io/Logging_2080/kartor/A 31359-2024 karta.png", "A 31359-2024")</f>
        <v/>
      </c>
      <c r="U163">
        <f>HYPERLINK("https://klasma.github.io/Logging_2080/knärot/A 31359-2024 karta knärot.png", "A 31359-2024")</f>
        <v/>
      </c>
      <c r="V163">
        <f>HYPERLINK("https://klasma.github.io/Logging_2080/klagomål/A 31359-2024 FSC-klagomål.docx", "A 31359-2024")</f>
        <v/>
      </c>
      <c r="W163">
        <f>HYPERLINK("https://klasma.github.io/Logging_2080/klagomålsmail/A 31359-2024 FSC-klagomål mail.docx", "A 31359-2024")</f>
        <v/>
      </c>
      <c r="X163">
        <f>HYPERLINK("https://klasma.github.io/Logging_2080/tillsyn/A 31359-2024 tillsynsbegäran.docx", "A 31359-2024")</f>
        <v/>
      </c>
      <c r="Y163">
        <f>HYPERLINK("https://klasma.github.io/Logging_2080/tillsynsmail/A 31359-2024 tillsynsbegäran mail.docx", "A 31359-2024")</f>
        <v/>
      </c>
      <c r="Z163">
        <f>HYPERLINK("https://klasma.github.io/Logging_2080/fåglar/A 31359-2024 prioriterade fågelarter.docx", "A 31359-2024")</f>
        <v/>
      </c>
    </row>
    <row r="164" ht="15" customHeight="1">
      <c r="A164" t="inlineStr">
        <is>
          <t>A 31749-2024</t>
        </is>
      </c>
      <c r="B164" s="1" t="n">
        <v>45509</v>
      </c>
      <c r="C164" s="1" t="n">
        <v>45706</v>
      </c>
      <c r="D164" t="inlineStr">
        <is>
          <t>DALARNAS LÄN</t>
        </is>
      </c>
      <c r="E164" t="inlineStr">
        <is>
          <t>LUDVIKA</t>
        </is>
      </c>
      <c r="G164" t="n">
        <v>6.7</v>
      </c>
      <c r="H164" t="n">
        <v>1</v>
      </c>
      <c r="I164" t="n">
        <v>6</v>
      </c>
      <c r="J164" t="n">
        <v>0</v>
      </c>
      <c r="K164" t="n">
        <v>1</v>
      </c>
      <c r="L164" t="n">
        <v>0</v>
      </c>
      <c r="M164" t="n">
        <v>0</v>
      </c>
      <c r="N164" t="n">
        <v>0</v>
      </c>
      <c r="O164" t="n">
        <v>1</v>
      </c>
      <c r="P164" t="n">
        <v>1</v>
      </c>
      <c r="Q164" t="n">
        <v>8</v>
      </c>
      <c r="R164" s="2" t="inlineStr">
        <is>
          <t>Rynkskinn
Sotriska
Svart trolldruva
Svavelriska
Tibast
Underviol
Vårärt
Blåsippa</t>
        </is>
      </c>
      <c r="S164">
        <f>HYPERLINK("https://klasma.github.io/Logging_2085/artfynd/A 31749-2024 artfynd.xlsx", "A 31749-2024")</f>
        <v/>
      </c>
      <c r="T164">
        <f>HYPERLINK("https://klasma.github.io/Logging_2085/kartor/A 31749-2024 karta.png", "A 31749-2024")</f>
        <v/>
      </c>
      <c r="V164">
        <f>HYPERLINK("https://klasma.github.io/Logging_2085/klagomål/A 31749-2024 FSC-klagomål.docx", "A 31749-2024")</f>
        <v/>
      </c>
      <c r="W164">
        <f>HYPERLINK("https://klasma.github.io/Logging_2085/klagomålsmail/A 31749-2024 FSC-klagomål mail.docx", "A 31749-2024")</f>
        <v/>
      </c>
      <c r="X164">
        <f>HYPERLINK("https://klasma.github.io/Logging_2085/tillsyn/A 31749-2024 tillsynsbegäran.docx", "A 31749-2024")</f>
        <v/>
      </c>
      <c r="Y164">
        <f>HYPERLINK("https://klasma.github.io/Logging_2085/tillsynsmail/A 31749-2024 tillsynsbegäran mail.docx", "A 31749-2024")</f>
        <v/>
      </c>
    </row>
    <row r="165" ht="15" customHeight="1">
      <c r="A165" t="inlineStr">
        <is>
          <t>A 45887-2024</t>
        </is>
      </c>
      <c r="B165" s="1" t="n">
        <v>45580</v>
      </c>
      <c r="C165" s="1" t="n">
        <v>45706</v>
      </c>
      <c r="D165" t="inlineStr">
        <is>
          <t>DALARNAS LÄN</t>
        </is>
      </c>
      <c r="E165" t="inlineStr">
        <is>
          <t>ORSA</t>
        </is>
      </c>
      <c r="F165" t="inlineStr">
        <is>
          <t>Kommuner</t>
        </is>
      </c>
      <c r="G165" t="n">
        <v>6.5</v>
      </c>
      <c r="H165" t="n">
        <v>2</v>
      </c>
      <c r="I165" t="n">
        <v>1</v>
      </c>
      <c r="J165" t="n">
        <v>7</v>
      </c>
      <c r="K165" t="n">
        <v>0</v>
      </c>
      <c r="L165" t="n">
        <v>0</v>
      </c>
      <c r="M165" t="n">
        <v>0</v>
      </c>
      <c r="N165" t="n">
        <v>0</v>
      </c>
      <c r="O165" t="n">
        <v>7</v>
      </c>
      <c r="P165" t="n">
        <v>0</v>
      </c>
      <c r="Q165" t="n">
        <v>8</v>
      </c>
      <c r="R165" s="2" t="inlineStr">
        <is>
          <t>Garnlav
Granticka
Tallticka
Talltita
Tretåig hackspett
Ullticka
Violettgrå tagellav
Vedticka</t>
        </is>
      </c>
      <c r="S165">
        <f>HYPERLINK("https://klasma.github.io/Logging_2034/artfynd/A 45887-2024 artfynd.xlsx", "A 45887-2024")</f>
        <v/>
      </c>
      <c r="T165">
        <f>HYPERLINK("https://klasma.github.io/Logging_2034/kartor/A 45887-2024 karta.png", "A 45887-2024")</f>
        <v/>
      </c>
      <c r="V165">
        <f>HYPERLINK("https://klasma.github.io/Logging_2034/klagomål/A 45887-2024 FSC-klagomål.docx", "A 45887-2024")</f>
        <v/>
      </c>
      <c r="W165">
        <f>HYPERLINK("https://klasma.github.io/Logging_2034/klagomålsmail/A 45887-2024 FSC-klagomål mail.docx", "A 45887-2024")</f>
        <v/>
      </c>
      <c r="X165">
        <f>HYPERLINK("https://klasma.github.io/Logging_2034/tillsyn/A 45887-2024 tillsynsbegäran.docx", "A 45887-2024")</f>
        <v/>
      </c>
      <c r="Y165">
        <f>HYPERLINK("https://klasma.github.io/Logging_2034/tillsynsmail/A 45887-2024 tillsynsbegäran mail.docx", "A 45887-2024")</f>
        <v/>
      </c>
      <c r="Z165">
        <f>HYPERLINK("https://klasma.github.io/Logging_2034/fåglar/A 45887-2024 prioriterade fågelarter.docx", "A 45887-2024")</f>
        <v/>
      </c>
    </row>
    <row r="166" ht="15" customHeight="1">
      <c r="A166" t="inlineStr">
        <is>
          <t>A 27655-2019</t>
        </is>
      </c>
      <c r="B166" s="1" t="n">
        <v>43619</v>
      </c>
      <c r="C166" s="1" t="n">
        <v>45706</v>
      </c>
      <c r="D166" t="inlineStr">
        <is>
          <t>DALARNAS LÄN</t>
        </is>
      </c>
      <c r="E166" t="inlineStr">
        <is>
          <t>ORSA</t>
        </is>
      </c>
      <c r="F166" t="inlineStr">
        <is>
          <t>Bergvik skog öst AB</t>
        </is>
      </c>
      <c r="G166" t="n">
        <v>26.9</v>
      </c>
      <c r="H166" t="n">
        <v>7</v>
      </c>
      <c r="I166" t="n">
        <v>0</v>
      </c>
      <c r="J166" t="n">
        <v>5</v>
      </c>
      <c r="K166" t="n">
        <v>0</v>
      </c>
      <c r="L166" t="n">
        <v>0</v>
      </c>
      <c r="M166" t="n">
        <v>0</v>
      </c>
      <c r="N166" t="n">
        <v>0</v>
      </c>
      <c r="O166" t="n">
        <v>5</v>
      </c>
      <c r="P166" t="n">
        <v>0</v>
      </c>
      <c r="Q166" t="n">
        <v>7</v>
      </c>
      <c r="R166" s="2" t="inlineStr">
        <is>
          <t>Blå kärrhök
Fjällvråk
Kungsörn
Stenfalk
Sävsparv
Grönsiska
Sångsvan</t>
        </is>
      </c>
      <c r="S166">
        <f>HYPERLINK("https://klasma.github.io/Logging_2034/artfynd/A 27655-2019 artfynd.xlsx", "A 27655-2019")</f>
        <v/>
      </c>
      <c r="T166">
        <f>HYPERLINK("https://klasma.github.io/Logging_2034/kartor/A 27655-2019 karta.png", "A 27655-2019")</f>
        <v/>
      </c>
      <c r="V166">
        <f>HYPERLINK("https://klasma.github.io/Logging_2034/klagomål/A 27655-2019 FSC-klagomål.docx", "A 27655-2019")</f>
        <v/>
      </c>
      <c r="W166">
        <f>HYPERLINK("https://klasma.github.io/Logging_2034/klagomålsmail/A 27655-2019 FSC-klagomål mail.docx", "A 27655-2019")</f>
        <v/>
      </c>
      <c r="X166">
        <f>HYPERLINK("https://klasma.github.io/Logging_2034/tillsyn/A 27655-2019 tillsynsbegäran.docx", "A 27655-2019")</f>
        <v/>
      </c>
      <c r="Y166">
        <f>HYPERLINK("https://klasma.github.io/Logging_2034/tillsynsmail/A 27655-2019 tillsynsbegäran mail.docx", "A 27655-2019")</f>
        <v/>
      </c>
      <c r="Z166">
        <f>HYPERLINK("https://klasma.github.io/Logging_2034/fåglar/A 27655-2019 prioriterade fågelarter.docx", "A 27655-2019")</f>
        <v/>
      </c>
    </row>
    <row r="167" ht="15" customHeight="1">
      <c r="A167" t="inlineStr">
        <is>
          <t>A 30548-2019</t>
        </is>
      </c>
      <c r="B167" s="1" t="n">
        <v>43635</v>
      </c>
      <c r="C167" s="1" t="n">
        <v>45706</v>
      </c>
      <c r="D167" t="inlineStr">
        <is>
          <t>DALARNAS LÄN</t>
        </is>
      </c>
      <c r="E167" t="inlineStr">
        <is>
          <t>MALUNG-SÄLEN</t>
        </is>
      </c>
      <c r="G167" t="n">
        <v>11.7</v>
      </c>
      <c r="H167" t="n">
        <v>0</v>
      </c>
      <c r="I167" t="n">
        <v>2</v>
      </c>
      <c r="J167" t="n">
        <v>5</v>
      </c>
      <c r="K167" t="n">
        <v>0</v>
      </c>
      <c r="L167" t="n">
        <v>0</v>
      </c>
      <c r="M167" t="n">
        <v>0</v>
      </c>
      <c r="N167" t="n">
        <v>0</v>
      </c>
      <c r="O167" t="n">
        <v>5</v>
      </c>
      <c r="P167" t="n">
        <v>0</v>
      </c>
      <c r="Q167" t="n">
        <v>7</v>
      </c>
      <c r="R167" s="2" t="inlineStr">
        <is>
          <t>Doftskinn
Garnlav
Violmussling
Vitgrynig nållav
Vitskaftad svartspik
Kornig nållav
Vågbandad barkbock</t>
        </is>
      </c>
      <c r="S167">
        <f>HYPERLINK("https://klasma.github.io/Logging_2023/artfynd/A 30548-2019 artfynd.xlsx", "A 30548-2019")</f>
        <v/>
      </c>
      <c r="T167">
        <f>HYPERLINK("https://klasma.github.io/Logging_2023/kartor/A 30548-2019 karta.png", "A 30548-2019")</f>
        <v/>
      </c>
      <c r="V167">
        <f>HYPERLINK("https://klasma.github.io/Logging_2023/klagomål/A 30548-2019 FSC-klagomål.docx", "A 30548-2019")</f>
        <v/>
      </c>
      <c r="W167">
        <f>HYPERLINK("https://klasma.github.io/Logging_2023/klagomålsmail/A 30548-2019 FSC-klagomål mail.docx", "A 30548-2019")</f>
        <v/>
      </c>
      <c r="X167">
        <f>HYPERLINK("https://klasma.github.io/Logging_2023/tillsyn/A 30548-2019 tillsynsbegäran.docx", "A 30548-2019")</f>
        <v/>
      </c>
      <c r="Y167">
        <f>HYPERLINK("https://klasma.github.io/Logging_2023/tillsynsmail/A 30548-2019 tillsynsbegäran mail.docx", "A 30548-2019")</f>
        <v/>
      </c>
    </row>
    <row r="168" ht="15" customHeight="1">
      <c r="A168" t="inlineStr">
        <is>
          <t>A 58449-2019</t>
        </is>
      </c>
      <c r="B168" s="1" t="n">
        <v>43773</v>
      </c>
      <c r="C168" s="1" t="n">
        <v>45706</v>
      </c>
      <c r="D168" t="inlineStr">
        <is>
          <t>DALARNAS LÄN</t>
        </is>
      </c>
      <c r="E168" t="inlineStr">
        <is>
          <t>FALUN</t>
        </is>
      </c>
      <c r="F168" t="inlineStr">
        <is>
          <t>Bergvik skog väst AB</t>
        </is>
      </c>
      <c r="G168" t="n">
        <v>2.3</v>
      </c>
      <c r="H168" t="n">
        <v>0</v>
      </c>
      <c r="I168" t="n">
        <v>2</v>
      </c>
      <c r="J168" t="n">
        <v>5</v>
      </c>
      <c r="K168" t="n">
        <v>0</v>
      </c>
      <c r="L168" t="n">
        <v>0</v>
      </c>
      <c r="M168" t="n">
        <v>0</v>
      </c>
      <c r="N168" t="n">
        <v>0</v>
      </c>
      <c r="O168" t="n">
        <v>5</v>
      </c>
      <c r="P168" t="n">
        <v>0</v>
      </c>
      <c r="Q168" t="n">
        <v>7</v>
      </c>
      <c r="R168" s="2" t="inlineStr">
        <is>
          <t>Brunpudrad nållav
Doftskinn
Garnlav
Kortskaftad ärgspik
Ullticka
Gulnål
Vedticka</t>
        </is>
      </c>
      <c r="S168">
        <f>HYPERLINK("https://klasma.github.io/Logging_2080/artfynd/A 58449-2019 artfynd.xlsx", "A 58449-2019")</f>
        <v/>
      </c>
      <c r="T168">
        <f>HYPERLINK("https://klasma.github.io/Logging_2080/kartor/A 58449-2019 karta.png", "A 58449-2019")</f>
        <v/>
      </c>
      <c r="V168">
        <f>HYPERLINK("https://klasma.github.io/Logging_2080/klagomål/A 58449-2019 FSC-klagomål.docx", "A 58449-2019")</f>
        <v/>
      </c>
      <c r="W168">
        <f>HYPERLINK("https://klasma.github.io/Logging_2080/klagomålsmail/A 58449-2019 FSC-klagomål mail.docx", "A 58449-2019")</f>
        <v/>
      </c>
      <c r="X168">
        <f>HYPERLINK("https://klasma.github.io/Logging_2080/tillsyn/A 58449-2019 tillsynsbegäran.docx", "A 58449-2019")</f>
        <v/>
      </c>
      <c r="Y168">
        <f>HYPERLINK("https://klasma.github.io/Logging_2080/tillsynsmail/A 58449-2019 tillsynsbegäran mail.docx", "A 58449-2019")</f>
        <v/>
      </c>
    </row>
    <row r="169" ht="15" customHeight="1">
      <c r="A169" t="inlineStr">
        <is>
          <t>A 62318-2019</t>
        </is>
      </c>
      <c r="B169" s="1" t="n">
        <v>43788</v>
      </c>
      <c r="C169" s="1" t="n">
        <v>45706</v>
      </c>
      <c r="D169" t="inlineStr">
        <is>
          <t>DALARNAS LÄN</t>
        </is>
      </c>
      <c r="E169" t="inlineStr">
        <is>
          <t>MALUNG-SÄLEN</t>
        </is>
      </c>
      <c r="G169" t="n">
        <v>2.1</v>
      </c>
      <c r="H169" t="n">
        <v>1</v>
      </c>
      <c r="I169" t="n">
        <v>1</v>
      </c>
      <c r="J169" t="n">
        <v>6</v>
      </c>
      <c r="K169" t="n">
        <v>0</v>
      </c>
      <c r="L169" t="n">
        <v>0</v>
      </c>
      <c r="M169" t="n">
        <v>0</v>
      </c>
      <c r="N169" t="n">
        <v>0</v>
      </c>
      <c r="O169" t="n">
        <v>6</v>
      </c>
      <c r="P169" t="n">
        <v>0</v>
      </c>
      <c r="Q169" t="n">
        <v>7</v>
      </c>
      <c r="R169" s="2" t="inlineStr">
        <is>
          <t>Brunpudrad nållav
Garnlav
Kolflarnlav
Lunglav
Mörk kolflarnlav
Tretåig hackspett
Dropptaggsvamp</t>
        </is>
      </c>
      <c r="S169">
        <f>HYPERLINK("https://klasma.github.io/Logging_2023/artfynd/A 62318-2019 artfynd.xlsx", "A 62318-2019")</f>
        <v/>
      </c>
      <c r="T169">
        <f>HYPERLINK("https://klasma.github.io/Logging_2023/kartor/A 62318-2019 karta.png", "A 62318-2019")</f>
        <v/>
      </c>
      <c r="V169">
        <f>HYPERLINK("https://klasma.github.io/Logging_2023/klagomål/A 62318-2019 FSC-klagomål.docx", "A 62318-2019")</f>
        <v/>
      </c>
      <c r="W169">
        <f>HYPERLINK("https://klasma.github.io/Logging_2023/klagomålsmail/A 62318-2019 FSC-klagomål mail.docx", "A 62318-2019")</f>
        <v/>
      </c>
      <c r="X169">
        <f>HYPERLINK("https://klasma.github.io/Logging_2023/tillsyn/A 62318-2019 tillsynsbegäran.docx", "A 62318-2019")</f>
        <v/>
      </c>
      <c r="Y169">
        <f>HYPERLINK("https://klasma.github.io/Logging_2023/tillsynsmail/A 62318-2019 tillsynsbegäran mail.docx", "A 62318-2019")</f>
        <v/>
      </c>
      <c r="Z169">
        <f>HYPERLINK("https://klasma.github.io/Logging_2023/fåglar/A 62318-2019 prioriterade fågelarter.docx", "A 62318-2019")</f>
        <v/>
      </c>
    </row>
    <row r="170" ht="15" customHeight="1">
      <c r="A170" t="inlineStr">
        <is>
          <t>A 39809-2020</t>
        </is>
      </c>
      <c r="B170" s="1" t="n">
        <v>44067</v>
      </c>
      <c r="C170" s="1" t="n">
        <v>45706</v>
      </c>
      <c r="D170" t="inlineStr">
        <is>
          <t>DALARNAS LÄN</t>
        </is>
      </c>
      <c r="E170" t="inlineStr">
        <is>
          <t>GAGNEF</t>
        </is>
      </c>
      <c r="G170" t="n">
        <v>8.1</v>
      </c>
      <c r="H170" t="n">
        <v>2</v>
      </c>
      <c r="I170" t="n">
        <v>3</v>
      </c>
      <c r="J170" t="n">
        <v>4</v>
      </c>
      <c r="K170" t="n">
        <v>0</v>
      </c>
      <c r="L170" t="n">
        <v>0</v>
      </c>
      <c r="M170" t="n">
        <v>0</v>
      </c>
      <c r="N170" t="n">
        <v>0</v>
      </c>
      <c r="O170" t="n">
        <v>4</v>
      </c>
      <c r="P170" t="n">
        <v>0</v>
      </c>
      <c r="Q170" t="n">
        <v>7</v>
      </c>
      <c r="R170" s="2" t="inlineStr">
        <is>
          <t>Garnlav
Motaggsvamp
Skrovlig taggsvamp
Talltita
Dropptaggsvamp
Nästlav
Plattlummer</t>
        </is>
      </c>
      <c r="S170">
        <f>HYPERLINK("https://klasma.github.io/Logging_2026/artfynd/A 39809-2020 artfynd.xlsx", "A 39809-2020")</f>
        <v/>
      </c>
      <c r="T170">
        <f>HYPERLINK("https://klasma.github.io/Logging_2026/kartor/A 39809-2020 karta.png", "A 39809-2020")</f>
        <v/>
      </c>
      <c r="V170">
        <f>HYPERLINK("https://klasma.github.io/Logging_2026/klagomål/A 39809-2020 FSC-klagomål.docx", "A 39809-2020")</f>
        <v/>
      </c>
      <c r="W170">
        <f>HYPERLINK("https://klasma.github.io/Logging_2026/klagomålsmail/A 39809-2020 FSC-klagomål mail.docx", "A 39809-2020")</f>
        <v/>
      </c>
      <c r="X170">
        <f>HYPERLINK("https://klasma.github.io/Logging_2026/tillsyn/A 39809-2020 tillsynsbegäran.docx", "A 39809-2020")</f>
        <v/>
      </c>
      <c r="Y170">
        <f>HYPERLINK("https://klasma.github.io/Logging_2026/tillsynsmail/A 39809-2020 tillsynsbegäran mail.docx", "A 39809-2020")</f>
        <v/>
      </c>
      <c r="Z170">
        <f>HYPERLINK("https://klasma.github.io/Logging_2026/fåglar/A 39809-2020 prioriterade fågelarter.docx", "A 39809-2020")</f>
        <v/>
      </c>
    </row>
    <row r="171" ht="15" customHeight="1">
      <c r="A171" t="inlineStr">
        <is>
          <t>A 54028-2020</t>
        </is>
      </c>
      <c r="B171" s="1" t="n">
        <v>44125</v>
      </c>
      <c r="C171" s="1" t="n">
        <v>45706</v>
      </c>
      <c r="D171" t="inlineStr">
        <is>
          <t>DALARNAS LÄN</t>
        </is>
      </c>
      <c r="E171" t="inlineStr">
        <is>
          <t>MORA</t>
        </is>
      </c>
      <c r="G171" t="n">
        <v>10.9</v>
      </c>
      <c r="H171" t="n">
        <v>1</v>
      </c>
      <c r="I171" t="n">
        <v>1</v>
      </c>
      <c r="J171" t="n">
        <v>5</v>
      </c>
      <c r="K171" t="n">
        <v>1</v>
      </c>
      <c r="L171" t="n">
        <v>0</v>
      </c>
      <c r="M171" t="n">
        <v>0</v>
      </c>
      <c r="N171" t="n">
        <v>0</v>
      </c>
      <c r="O171" t="n">
        <v>6</v>
      </c>
      <c r="P171" t="n">
        <v>1</v>
      </c>
      <c r="Q171" t="n">
        <v>7</v>
      </c>
      <c r="R171" s="2" t="inlineStr">
        <is>
          <t>Gräddporing
Kolflarnlav
Kortskaftad ärgspik
Nordtagging
Tretåig hackspett
Vedskivlav
Mindre märgborre</t>
        </is>
      </c>
      <c r="S171">
        <f>HYPERLINK("https://klasma.github.io/Logging_2062/artfynd/A 54028-2020 artfynd.xlsx", "A 54028-2020")</f>
        <v/>
      </c>
      <c r="T171">
        <f>HYPERLINK("https://klasma.github.io/Logging_2062/kartor/A 54028-2020 karta.png", "A 54028-2020")</f>
        <v/>
      </c>
      <c r="V171">
        <f>HYPERLINK("https://klasma.github.io/Logging_2062/klagomål/A 54028-2020 FSC-klagomål.docx", "A 54028-2020")</f>
        <v/>
      </c>
      <c r="W171">
        <f>HYPERLINK("https://klasma.github.io/Logging_2062/klagomålsmail/A 54028-2020 FSC-klagomål mail.docx", "A 54028-2020")</f>
        <v/>
      </c>
      <c r="X171">
        <f>HYPERLINK("https://klasma.github.io/Logging_2062/tillsyn/A 54028-2020 tillsynsbegäran.docx", "A 54028-2020")</f>
        <v/>
      </c>
      <c r="Y171">
        <f>HYPERLINK("https://klasma.github.io/Logging_2062/tillsynsmail/A 54028-2020 tillsynsbegäran mail.docx", "A 54028-2020")</f>
        <v/>
      </c>
      <c r="Z171">
        <f>HYPERLINK("https://klasma.github.io/Logging_2062/fåglar/A 54028-2020 prioriterade fågelarter.docx", "A 54028-2020")</f>
        <v/>
      </c>
    </row>
    <row r="172" ht="15" customHeight="1">
      <c r="A172" t="inlineStr">
        <is>
          <t>A 54380-2020</t>
        </is>
      </c>
      <c r="B172" s="1" t="n">
        <v>44126</v>
      </c>
      <c r="C172" s="1" t="n">
        <v>45706</v>
      </c>
      <c r="D172" t="inlineStr">
        <is>
          <t>DALARNAS LÄN</t>
        </is>
      </c>
      <c r="E172" t="inlineStr">
        <is>
          <t>HEDEMORA</t>
        </is>
      </c>
      <c r="G172" t="n">
        <v>2.4</v>
      </c>
      <c r="H172" t="n">
        <v>3</v>
      </c>
      <c r="I172" t="n">
        <v>4</v>
      </c>
      <c r="J172" t="n">
        <v>0</v>
      </c>
      <c r="K172" t="n">
        <v>1</v>
      </c>
      <c r="L172" t="n">
        <v>0</v>
      </c>
      <c r="M172" t="n">
        <v>0</v>
      </c>
      <c r="N172" t="n">
        <v>0</v>
      </c>
      <c r="O172" t="n">
        <v>1</v>
      </c>
      <c r="P172" t="n">
        <v>1</v>
      </c>
      <c r="Q172" t="n">
        <v>7</v>
      </c>
      <c r="R172" s="2" t="inlineStr">
        <is>
          <t>Knärot
Bronshjon
Fjällig taggsvamp s.str.
Rödgul trumpetsvamp
Svavelriska
Vanlig groda
Revlummer</t>
        </is>
      </c>
      <c r="S172">
        <f>HYPERLINK("https://klasma.github.io/Logging_2083/artfynd/A 54380-2020 artfynd.xlsx", "A 54380-2020")</f>
        <v/>
      </c>
      <c r="T172">
        <f>HYPERLINK("https://klasma.github.io/Logging_2083/kartor/A 54380-2020 karta.png", "A 54380-2020")</f>
        <v/>
      </c>
      <c r="U172">
        <f>HYPERLINK("https://klasma.github.io/Logging_2083/knärot/A 54380-2020 karta knärot.png", "A 54380-2020")</f>
        <v/>
      </c>
      <c r="V172">
        <f>HYPERLINK("https://klasma.github.io/Logging_2083/klagomål/A 54380-2020 FSC-klagomål.docx", "A 54380-2020")</f>
        <v/>
      </c>
      <c r="W172">
        <f>HYPERLINK("https://klasma.github.io/Logging_2083/klagomålsmail/A 54380-2020 FSC-klagomål mail.docx", "A 54380-2020")</f>
        <v/>
      </c>
      <c r="X172">
        <f>HYPERLINK("https://klasma.github.io/Logging_2083/tillsyn/A 54380-2020 tillsynsbegäran.docx", "A 54380-2020")</f>
        <v/>
      </c>
      <c r="Y172">
        <f>HYPERLINK("https://klasma.github.io/Logging_2083/tillsynsmail/A 54380-2020 tillsynsbegäran mail.docx", "A 54380-2020")</f>
        <v/>
      </c>
    </row>
    <row r="173" ht="15" customHeight="1">
      <c r="A173" t="inlineStr">
        <is>
          <t>A 6359-2021</t>
        </is>
      </c>
      <c r="B173" s="1" t="n">
        <v>44232</v>
      </c>
      <c r="C173" s="1" t="n">
        <v>45706</v>
      </c>
      <c r="D173" t="inlineStr">
        <is>
          <t>DALARNAS LÄN</t>
        </is>
      </c>
      <c r="E173" t="inlineStr">
        <is>
          <t>MALUNG-SÄLEN</t>
        </is>
      </c>
      <c r="G173" t="n">
        <v>8.699999999999999</v>
      </c>
      <c r="H173" t="n">
        <v>1</v>
      </c>
      <c r="I173" t="n">
        <v>2</v>
      </c>
      <c r="J173" t="n">
        <v>4</v>
      </c>
      <c r="K173" t="n">
        <v>1</v>
      </c>
      <c r="L173" t="n">
        <v>0</v>
      </c>
      <c r="M173" t="n">
        <v>0</v>
      </c>
      <c r="N173" t="n">
        <v>0</v>
      </c>
      <c r="O173" t="n">
        <v>5</v>
      </c>
      <c r="P173" t="n">
        <v>1</v>
      </c>
      <c r="Q173" t="n">
        <v>7</v>
      </c>
      <c r="R173" s="2" t="inlineStr">
        <is>
          <t>Liten sotlav
Garnlav
Gränsticka
Ullticka
Vedtrappmossa
Luddlav
Spindelblomster</t>
        </is>
      </c>
      <c r="S173">
        <f>HYPERLINK("https://klasma.github.io/Logging_2023/artfynd/A 6359-2021 artfynd.xlsx", "A 6359-2021")</f>
        <v/>
      </c>
      <c r="T173">
        <f>HYPERLINK("https://klasma.github.io/Logging_2023/kartor/A 6359-2021 karta.png", "A 6359-2021")</f>
        <v/>
      </c>
      <c r="V173">
        <f>HYPERLINK("https://klasma.github.io/Logging_2023/klagomål/A 6359-2021 FSC-klagomål.docx", "A 6359-2021")</f>
        <v/>
      </c>
      <c r="W173">
        <f>HYPERLINK("https://klasma.github.io/Logging_2023/klagomålsmail/A 6359-2021 FSC-klagomål mail.docx", "A 6359-2021")</f>
        <v/>
      </c>
      <c r="X173">
        <f>HYPERLINK("https://klasma.github.io/Logging_2023/tillsyn/A 6359-2021 tillsynsbegäran.docx", "A 6359-2021")</f>
        <v/>
      </c>
      <c r="Y173">
        <f>HYPERLINK("https://klasma.github.io/Logging_2023/tillsynsmail/A 6359-2021 tillsynsbegäran mail.docx", "A 6359-2021")</f>
        <v/>
      </c>
    </row>
    <row r="174" ht="15" customHeight="1">
      <c r="A174" t="inlineStr">
        <is>
          <t>A 35844-2021</t>
        </is>
      </c>
      <c r="B174" s="1" t="n">
        <v>44386</v>
      </c>
      <c r="C174" s="1" t="n">
        <v>45706</v>
      </c>
      <c r="D174" t="inlineStr">
        <is>
          <t>DALARNAS LÄN</t>
        </is>
      </c>
      <c r="E174" t="inlineStr">
        <is>
          <t>AVESTA</t>
        </is>
      </c>
      <c r="F174" t="inlineStr">
        <is>
          <t>Sveaskog</t>
        </is>
      </c>
      <c r="G174" t="n">
        <v>4.4</v>
      </c>
      <c r="H174" t="n">
        <v>4</v>
      </c>
      <c r="I174" t="n">
        <v>3</v>
      </c>
      <c r="J174" t="n">
        <v>2</v>
      </c>
      <c r="K174" t="n">
        <v>0</v>
      </c>
      <c r="L174" t="n">
        <v>0</v>
      </c>
      <c r="M174" t="n">
        <v>0</v>
      </c>
      <c r="N174" t="n">
        <v>0</v>
      </c>
      <c r="O174" t="n">
        <v>2</v>
      </c>
      <c r="P174" t="n">
        <v>0</v>
      </c>
      <c r="Q174" t="n">
        <v>7</v>
      </c>
      <c r="R174" s="2" t="inlineStr">
        <is>
          <t>Spillkråka
Talltita
Bollvitmossa
Bronshjon
Nästlav
Fläcknycklar
Revlummer</t>
        </is>
      </c>
      <c r="S174">
        <f>HYPERLINK("https://klasma.github.io/Logging_2084/artfynd/A 35844-2021 artfynd.xlsx", "A 35844-2021")</f>
        <v/>
      </c>
      <c r="T174">
        <f>HYPERLINK("https://klasma.github.io/Logging_2084/kartor/A 35844-2021 karta.png", "A 35844-2021")</f>
        <v/>
      </c>
      <c r="V174">
        <f>HYPERLINK("https://klasma.github.io/Logging_2084/klagomål/A 35844-2021 FSC-klagomål.docx", "A 35844-2021")</f>
        <v/>
      </c>
      <c r="W174">
        <f>HYPERLINK("https://klasma.github.io/Logging_2084/klagomålsmail/A 35844-2021 FSC-klagomål mail.docx", "A 35844-2021")</f>
        <v/>
      </c>
      <c r="X174">
        <f>HYPERLINK("https://klasma.github.io/Logging_2084/tillsyn/A 35844-2021 tillsynsbegäran.docx", "A 35844-2021")</f>
        <v/>
      </c>
      <c r="Y174">
        <f>HYPERLINK("https://klasma.github.io/Logging_2084/tillsynsmail/A 35844-2021 tillsynsbegäran mail.docx", "A 35844-2021")</f>
        <v/>
      </c>
      <c r="Z174">
        <f>HYPERLINK("https://klasma.github.io/Logging_2084/fåglar/A 35844-2021 prioriterade fågelarter.docx", "A 35844-2021")</f>
        <v/>
      </c>
    </row>
    <row r="175" ht="15" customHeight="1">
      <c r="A175" t="inlineStr">
        <is>
          <t>A 67302-2021</t>
        </is>
      </c>
      <c r="B175" s="1" t="n">
        <v>44523</v>
      </c>
      <c r="C175" s="1" t="n">
        <v>45706</v>
      </c>
      <c r="D175" t="inlineStr">
        <is>
          <t>DALARNAS LÄN</t>
        </is>
      </c>
      <c r="E175" t="inlineStr">
        <is>
          <t>MALUNG-SÄLEN</t>
        </is>
      </c>
      <c r="G175" t="n">
        <v>6.6</v>
      </c>
      <c r="H175" t="n">
        <v>0</v>
      </c>
      <c r="I175" t="n">
        <v>2</v>
      </c>
      <c r="J175" t="n">
        <v>4</v>
      </c>
      <c r="K175" t="n">
        <v>1</v>
      </c>
      <c r="L175" t="n">
        <v>0</v>
      </c>
      <c r="M175" t="n">
        <v>0</v>
      </c>
      <c r="N175" t="n">
        <v>0</v>
      </c>
      <c r="O175" t="n">
        <v>5</v>
      </c>
      <c r="P175" t="n">
        <v>1</v>
      </c>
      <c r="Q175" t="n">
        <v>7</v>
      </c>
      <c r="R175" s="2" t="inlineStr">
        <is>
          <t>Rynkskinn
Gammelgransskål
Garnlav
Ullticka
Violettgrå tagellav
Bronshjon
Vågbandad barkbock</t>
        </is>
      </c>
      <c r="S175">
        <f>HYPERLINK("https://klasma.github.io/Logging_2023/artfynd/A 67302-2021 artfynd.xlsx", "A 67302-2021")</f>
        <v/>
      </c>
      <c r="T175">
        <f>HYPERLINK("https://klasma.github.io/Logging_2023/kartor/A 67302-2021 karta.png", "A 67302-2021")</f>
        <v/>
      </c>
      <c r="V175">
        <f>HYPERLINK("https://klasma.github.io/Logging_2023/klagomål/A 67302-2021 FSC-klagomål.docx", "A 67302-2021")</f>
        <v/>
      </c>
      <c r="W175">
        <f>HYPERLINK("https://klasma.github.io/Logging_2023/klagomålsmail/A 67302-2021 FSC-klagomål mail.docx", "A 67302-2021")</f>
        <v/>
      </c>
      <c r="X175">
        <f>HYPERLINK("https://klasma.github.io/Logging_2023/tillsyn/A 67302-2021 tillsynsbegäran.docx", "A 67302-2021")</f>
        <v/>
      </c>
      <c r="Y175">
        <f>HYPERLINK("https://klasma.github.io/Logging_2023/tillsynsmail/A 67302-2021 tillsynsbegäran mail.docx", "A 67302-2021")</f>
        <v/>
      </c>
    </row>
    <row r="176" ht="15" customHeight="1">
      <c r="A176" t="inlineStr">
        <is>
          <t>A 73456-2021</t>
        </is>
      </c>
      <c r="B176" s="1" t="n">
        <v>44551</v>
      </c>
      <c r="C176" s="1" t="n">
        <v>45706</v>
      </c>
      <c r="D176" t="inlineStr">
        <is>
          <t>DALARNAS LÄN</t>
        </is>
      </c>
      <c r="E176" t="inlineStr">
        <is>
          <t>HEDEMORA</t>
        </is>
      </c>
      <c r="G176" t="n">
        <v>5.9</v>
      </c>
      <c r="H176" t="n">
        <v>5</v>
      </c>
      <c r="I176" t="n">
        <v>1</v>
      </c>
      <c r="J176" t="n">
        <v>4</v>
      </c>
      <c r="K176" t="n">
        <v>1</v>
      </c>
      <c r="L176" t="n">
        <v>0</v>
      </c>
      <c r="M176" t="n">
        <v>0</v>
      </c>
      <c r="N176" t="n">
        <v>0</v>
      </c>
      <c r="O176" t="n">
        <v>5</v>
      </c>
      <c r="P176" t="n">
        <v>1</v>
      </c>
      <c r="Q176" t="n">
        <v>7</v>
      </c>
      <c r="R176" s="2" t="inlineStr">
        <is>
          <t>Knärot
Slaguggla
Spillkråka
Talltita
Ullticka
Vedticka
Fläcknycklar</t>
        </is>
      </c>
      <c r="S176">
        <f>HYPERLINK("https://klasma.github.io/Logging_2083/artfynd/A 73456-2021 artfynd.xlsx", "A 73456-2021")</f>
        <v/>
      </c>
      <c r="T176">
        <f>HYPERLINK("https://klasma.github.io/Logging_2083/kartor/A 73456-2021 karta.png", "A 73456-2021")</f>
        <v/>
      </c>
      <c r="U176">
        <f>HYPERLINK("https://klasma.github.io/Logging_2083/knärot/A 73456-2021 karta knärot.png", "A 73456-2021")</f>
        <v/>
      </c>
      <c r="V176">
        <f>HYPERLINK("https://klasma.github.io/Logging_2083/klagomål/A 73456-2021 FSC-klagomål.docx", "A 73456-2021")</f>
        <v/>
      </c>
      <c r="W176">
        <f>HYPERLINK("https://klasma.github.io/Logging_2083/klagomålsmail/A 73456-2021 FSC-klagomål mail.docx", "A 73456-2021")</f>
        <v/>
      </c>
      <c r="X176">
        <f>HYPERLINK("https://klasma.github.io/Logging_2083/tillsyn/A 73456-2021 tillsynsbegäran.docx", "A 73456-2021")</f>
        <v/>
      </c>
      <c r="Y176">
        <f>HYPERLINK("https://klasma.github.io/Logging_2083/tillsynsmail/A 73456-2021 tillsynsbegäran mail.docx", "A 73456-2021")</f>
        <v/>
      </c>
      <c r="Z176">
        <f>HYPERLINK("https://klasma.github.io/Logging_2083/fåglar/A 73456-2021 prioriterade fågelarter.docx", "A 73456-2021")</f>
        <v/>
      </c>
    </row>
    <row r="177" ht="15" customHeight="1">
      <c r="A177" t="inlineStr">
        <is>
          <t>A 8305-2022</t>
        </is>
      </c>
      <c r="B177" s="1" t="n">
        <v>44610</v>
      </c>
      <c r="C177" s="1" t="n">
        <v>45706</v>
      </c>
      <c r="D177" t="inlineStr">
        <is>
          <t>DALARNAS LÄN</t>
        </is>
      </c>
      <c r="E177" t="inlineStr">
        <is>
          <t>MALUNG-SÄLEN</t>
        </is>
      </c>
      <c r="G177" t="n">
        <v>2.7</v>
      </c>
      <c r="H177" t="n">
        <v>0</v>
      </c>
      <c r="I177" t="n">
        <v>1</v>
      </c>
      <c r="J177" t="n">
        <v>6</v>
      </c>
      <c r="K177" t="n">
        <v>0</v>
      </c>
      <c r="L177" t="n">
        <v>0</v>
      </c>
      <c r="M177" t="n">
        <v>0</v>
      </c>
      <c r="N177" t="n">
        <v>0</v>
      </c>
      <c r="O177" t="n">
        <v>6</v>
      </c>
      <c r="P177" t="n">
        <v>0</v>
      </c>
      <c r="Q177" t="n">
        <v>7</v>
      </c>
      <c r="R177" s="2" t="inlineStr">
        <is>
          <t>Garnlav
Mörk kolflarnlav
Skrovlig taggsvamp
Svart taggsvamp
Vaxspindling
Vedskivlav
Mindre märgborre</t>
        </is>
      </c>
      <c r="S177">
        <f>HYPERLINK("https://klasma.github.io/Logging_2023/artfynd/A 8305-2022 artfynd.xlsx", "A 8305-2022")</f>
        <v/>
      </c>
      <c r="T177">
        <f>HYPERLINK("https://klasma.github.io/Logging_2023/kartor/A 8305-2022 karta.png", "A 8305-2022")</f>
        <v/>
      </c>
      <c r="V177">
        <f>HYPERLINK("https://klasma.github.io/Logging_2023/klagomål/A 8305-2022 FSC-klagomål.docx", "A 8305-2022")</f>
        <v/>
      </c>
      <c r="W177">
        <f>HYPERLINK("https://klasma.github.io/Logging_2023/klagomålsmail/A 8305-2022 FSC-klagomål mail.docx", "A 8305-2022")</f>
        <v/>
      </c>
      <c r="X177">
        <f>HYPERLINK("https://klasma.github.io/Logging_2023/tillsyn/A 8305-2022 tillsynsbegäran.docx", "A 8305-2022")</f>
        <v/>
      </c>
      <c r="Y177">
        <f>HYPERLINK("https://klasma.github.io/Logging_2023/tillsynsmail/A 8305-2022 tillsynsbegäran mail.docx", "A 8305-2022")</f>
        <v/>
      </c>
    </row>
    <row r="178" ht="15" customHeight="1">
      <c r="A178" t="inlineStr">
        <is>
          <t>A 47504-2022</t>
        </is>
      </c>
      <c r="B178" s="1" t="n">
        <v>44853</v>
      </c>
      <c r="C178" s="1" t="n">
        <v>45706</v>
      </c>
      <c r="D178" t="inlineStr">
        <is>
          <t>DALARNAS LÄN</t>
        </is>
      </c>
      <c r="E178" t="inlineStr">
        <is>
          <t>ÄLVDALEN</t>
        </is>
      </c>
      <c r="F178" t="inlineStr">
        <is>
          <t>Bergvik skog väst AB</t>
        </is>
      </c>
      <c r="G178" t="n">
        <v>14.7</v>
      </c>
      <c r="H178" t="n">
        <v>0</v>
      </c>
      <c r="I178" t="n">
        <v>1</v>
      </c>
      <c r="J178" t="n">
        <v>5</v>
      </c>
      <c r="K178" t="n">
        <v>1</v>
      </c>
      <c r="L178" t="n">
        <v>0</v>
      </c>
      <c r="M178" t="n">
        <v>0</v>
      </c>
      <c r="N178" t="n">
        <v>0</v>
      </c>
      <c r="O178" t="n">
        <v>6</v>
      </c>
      <c r="P178" t="n">
        <v>1</v>
      </c>
      <c r="Q178" t="n">
        <v>7</v>
      </c>
      <c r="R178" s="2" t="inlineStr">
        <is>
          <t>Liten hornflikmossa
Dvärgbägarlav
Hornvaxskinn
Nordtagging
Vaddporing
Vedtrappmossa
Dropptaggsvamp</t>
        </is>
      </c>
      <c r="S178">
        <f>HYPERLINK("https://klasma.github.io/Logging_2039/artfynd/A 47504-2022 artfynd.xlsx", "A 47504-2022")</f>
        <v/>
      </c>
      <c r="T178">
        <f>HYPERLINK("https://klasma.github.io/Logging_2039/kartor/A 47504-2022 karta.png", "A 47504-2022")</f>
        <v/>
      </c>
      <c r="V178">
        <f>HYPERLINK("https://klasma.github.io/Logging_2039/klagomål/A 47504-2022 FSC-klagomål.docx", "A 47504-2022")</f>
        <v/>
      </c>
      <c r="W178">
        <f>HYPERLINK("https://klasma.github.io/Logging_2039/klagomålsmail/A 47504-2022 FSC-klagomål mail.docx", "A 47504-2022")</f>
        <v/>
      </c>
      <c r="X178">
        <f>HYPERLINK("https://klasma.github.io/Logging_2039/tillsyn/A 47504-2022 tillsynsbegäran.docx", "A 47504-2022")</f>
        <v/>
      </c>
      <c r="Y178">
        <f>HYPERLINK("https://klasma.github.io/Logging_2039/tillsynsmail/A 47504-2022 tillsynsbegäran mail.docx", "A 47504-2022")</f>
        <v/>
      </c>
    </row>
    <row r="179" ht="15" customHeight="1">
      <c r="A179" t="inlineStr">
        <is>
          <t>A 52620-2022</t>
        </is>
      </c>
      <c r="B179" s="1" t="n">
        <v>44874</v>
      </c>
      <c r="C179" s="1" t="n">
        <v>45706</v>
      </c>
      <c r="D179" t="inlineStr">
        <is>
          <t>DALARNAS LÄN</t>
        </is>
      </c>
      <c r="E179" t="inlineStr">
        <is>
          <t>RÄTTVIK</t>
        </is>
      </c>
      <c r="F179" t="inlineStr">
        <is>
          <t>Bergvik skog väst AB</t>
        </is>
      </c>
      <c r="G179" t="n">
        <v>46.7</v>
      </c>
      <c r="H179" t="n">
        <v>0</v>
      </c>
      <c r="I179" t="n">
        <v>1</v>
      </c>
      <c r="J179" t="n">
        <v>2</v>
      </c>
      <c r="K179" t="n">
        <v>3</v>
      </c>
      <c r="L179" t="n">
        <v>1</v>
      </c>
      <c r="M179" t="n">
        <v>0</v>
      </c>
      <c r="N179" t="n">
        <v>0</v>
      </c>
      <c r="O179" t="n">
        <v>6</v>
      </c>
      <c r="P179" t="n">
        <v>4</v>
      </c>
      <c r="Q179" t="n">
        <v>7</v>
      </c>
      <c r="R179" s="2" t="inlineStr">
        <is>
          <t>Urskogsporing
Gräddporing
Spadskinn
Tajgataggsvamp
Svartvit taggsvamp
Vaddporing
Vedticka</t>
        </is>
      </c>
      <c r="S179">
        <f>HYPERLINK("https://klasma.github.io/Logging_2031/artfynd/A 52620-2022 artfynd.xlsx", "A 52620-2022")</f>
        <v/>
      </c>
      <c r="T179">
        <f>HYPERLINK("https://klasma.github.io/Logging_2031/kartor/A 52620-2022 karta.png", "A 52620-2022")</f>
        <v/>
      </c>
      <c r="V179">
        <f>HYPERLINK("https://klasma.github.io/Logging_2031/klagomål/A 52620-2022 FSC-klagomål.docx", "A 52620-2022")</f>
        <v/>
      </c>
      <c r="W179">
        <f>HYPERLINK("https://klasma.github.io/Logging_2031/klagomålsmail/A 52620-2022 FSC-klagomål mail.docx", "A 52620-2022")</f>
        <v/>
      </c>
      <c r="X179">
        <f>HYPERLINK("https://klasma.github.io/Logging_2031/tillsyn/A 52620-2022 tillsynsbegäran.docx", "A 52620-2022")</f>
        <v/>
      </c>
      <c r="Y179">
        <f>HYPERLINK("https://klasma.github.io/Logging_2031/tillsynsmail/A 52620-2022 tillsynsbegäran mail.docx", "A 52620-2022")</f>
        <v/>
      </c>
    </row>
    <row r="180" ht="15" customHeight="1">
      <c r="A180" t="inlineStr">
        <is>
          <t>A 5064-2023</t>
        </is>
      </c>
      <c r="B180" s="1" t="n">
        <v>44958</v>
      </c>
      <c r="C180" s="1" t="n">
        <v>45706</v>
      </c>
      <c r="D180" t="inlineStr">
        <is>
          <t>DALARNAS LÄN</t>
        </is>
      </c>
      <c r="E180" t="inlineStr">
        <is>
          <t>MORA</t>
        </is>
      </c>
      <c r="G180" t="n">
        <v>3.9</v>
      </c>
      <c r="H180" t="n">
        <v>1</v>
      </c>
      <c r="I180" t="n">
        <v>1</v>
      </c>
      <c r="J180" t="n">
        <v>6</v>
      </c>
      <c r="K180" t="n">
        <v>0</v>
      </c>
      <c r="L180" t="n">
        <v>0</v>
      </c>
      <c r="M180" t="n">
        <v>0</v>
      </c>
      <c r="N180" t="n">
        <v>0</v>
      </c>
      <c r="O180" t="n">
        <v>6</v>
      </c>
      <c r="P180" t="n">
        <v>0</v>
      </c>
      <c r="Q180" t="n">
        <v>7</v>
      </c>
      <c r="R180" s="2" t="inlineStr">
        <is>
          <t>Garnlav
Spillkråka
Tallticka
Ullticka
Vedskivlav
Vitgrynig nållav
Bronshjon</t>
        </is>
      </c>
      <c r="S180">
        <f>HYPERLINK("https://klasma.github.io/Logging_2062/artfynd/A 5064-2023 artfynd.xlsx", "A 5064-2023")</f>
        <v/>
      </c>
      <c r="T180">
        <f>HYPERLINK("https://klasma.github.io/Logging_2062/kartor/A 5064-2023 karta.png", "A 5064-2023")</f>
        <v/>
      </c>
      <c r="V180">
        <f>HYPERLINK("https://klasma.github.io/Logging_2062/klagomål/A 5064-2023 FSC-klagomål.docx", "A 5064-2023")</f>
        <v/>
      </c>
      <c r="W180">
        <f>HYPERLINK("https://klasma.github.io/Logging_2062/klagomålsmail/A 5064-2023 FSC-klagomål mail.docx", "A 5064-2023")</f>
        <v/>
      </c>
      <c r="X180">
        <f>HYPERLINK("https://klasma.github.io/Logging_2062/tillsyn/A 5064-2023 tillsynsbegäran.docx", "A 5064-2023")</f>
        <v/>
      </c>
      <c r="Y180">
        <f>HYPERLINK("https://klasma.github.io/Logging_2062/tillsynsmail/A 5064-2023 tillsynsbegäran mail.docx", "A 5064-2023")</f>
        <v/>
      </c>
      <c r="Z180">
        <f>HYPERLINK("https://klasma.github.io/Logging_2062/fåglar/A 5064-2023 prioriterade fågelarter.docx", "A 5064-2023")</f>
        <v/>
      </c>
    </row>
    <row r="181" ht="15" customHeight="1">
      <c r="A181" t="inlineStr">
        <is>
          <t>A 35869-2023</t>
        </is>
      </c>
      <c r="B181" s="1" t="n">
        <v>45147</v>
      </c>
      <c r="C181" s="1" t="n">
        <v>45706</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45706</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45706</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45706</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45706</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45706</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45706</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45706</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45706</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45706</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45706</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45706</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45706</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45706</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45706</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45706</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45706</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45706</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45706</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45706</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45706</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45706</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45706</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45706</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45706</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45706</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45706</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45706</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45706</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45706</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45706</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45706</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45706</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45706</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45706</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45706</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45706</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45706</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45706</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45706</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45706</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45706</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45706</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45706</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45706</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45706</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45706</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45706</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45706</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45706</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45706</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45706</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45706</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45706</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45706</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45706</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45706</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45706</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45706</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45706</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45706</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45706</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45706</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45706</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45706</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45706</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45706</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45706</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45706</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45706</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45706</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45706</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45706</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45706</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45706</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45706</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45706</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45706</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45706</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45706</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45706</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45706</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45706</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45706</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45706</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45706</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45706</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45706</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45706</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45706</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45706</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45706</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45706</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45706</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45706</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45706</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45706</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45706</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45706</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45706</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45706</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45706</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45706</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45706</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45706</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45706</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45706</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45706</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45706</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45706</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45706</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45706</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45706</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45706</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45706</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45706</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45706</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45706</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45706</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45706</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45706</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45706</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45706</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45706</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45706</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45706</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45706</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45706</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45706</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45706</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45706</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45706</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45706</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45706</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45706</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45706</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45706</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45706</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45706</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45706</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45706</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45706</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45706</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45706</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45706</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45706</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45706</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45706</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45706</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45706</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45706</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45706</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45706</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45706</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45706</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45706</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45706</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45706</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45706</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45706</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45706</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45706</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45706</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45706</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45706</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45706</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45706</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45706</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45706</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45706</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45706</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45706</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45706</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45706</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45706</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45706</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45706</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45706</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45706</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45706</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45706</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45706</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45706</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45706</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45706</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45706</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45706</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45706</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45706</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45706</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45706</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45706</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45706</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45706</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45706</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45706</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45706</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45706</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45706</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45706</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45706</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45706</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45706</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45706</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45706</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45706</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45706</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45706</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45706</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45706</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45706</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45706</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45706</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45706</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45706</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45706</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45706</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45706</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45706</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45706</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45706</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45706</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45706</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45706</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45706</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45706</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45706</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45706</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45706</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45706</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45706</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45706</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45706</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45706</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45706</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45706</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45706</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45706</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45706</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45706</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45706</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45706</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45706</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45706</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45706</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45706</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45706</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45706</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45706</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45706</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45706</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45706</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45706</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45706</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45706</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45706</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45706</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45706</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45706</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45706</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45706</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45706</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45706</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45706</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45706</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45706</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45706</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45706</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45706</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45706</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45706</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45706</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45706</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45706</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45706</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45706</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45706</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45706</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45706</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45706</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45706</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45706</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45706</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45706</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45706</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45706</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45706</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45706</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45706</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45706</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45706</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45706</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45706</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45706</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45706</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45706</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45706</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45706</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45706</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45706</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45706</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45706</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45706</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45706</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45706</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45706</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45706</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45706</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45706</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45706</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45706</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45706</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45706</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45706</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45706</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45706</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45706</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45706</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45706</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45706</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45706</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45706</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45706</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45706</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45706</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45706</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45706</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45706</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45706</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45706</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45706</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45706</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45706</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45706</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45706</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45706</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45706</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45706</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45706</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45706</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45706</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45706</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45706</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45706</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45706</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45706</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45706</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45706</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45706</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45706</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45706</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45706</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45706</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45706</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45706</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45706</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45706</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45706</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45706</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45706</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45706</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45706</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45706</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45706</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45706</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45706</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45706</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45706</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45706</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45706</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45706</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45706</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45706</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45706</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45706</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45706</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45706</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45706</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45706</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45706</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45706</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45706</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45706</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45706</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45706</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45706</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45706</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45706</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45706</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45706</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45706</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45706</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45706</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45706</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45706</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45706</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45706</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45706</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45706</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45706</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45706</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45706</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45706</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45706</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45706</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45706</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45706</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45706</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45706</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45706</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45706</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45706</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45706</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45706</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45706</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45706</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45706</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45706</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45706</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45706</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45706</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45706</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45706</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45706</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45706</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45706</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45706</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45706</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45706</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45706</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45706</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45706</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45706</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45706</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45706</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45706</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45706</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45706</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45706</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45706</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45706</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45706</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45706</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45706</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45706</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45706</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45706</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45706</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45706</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45706</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45706</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45706</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45706</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45706</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45706</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45706</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45706</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45706</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45706</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45706</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45706</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45706</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45706</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45706</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45706</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45706</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45706</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45706</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45706</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3060-2025</t>
        </is>
      </c>
      <c r="B650" s="1" t="n">
        <v>45678</v>
      </c>
      <c r="C650" s="1" t="n">
        <v>45706</v>
      </c>
      <c r="D650" t="inlineStr">
        <is>
          <t>DALARNAS LÄN</t>
        </is>
      </c>
      <c r="E650" t="inlineStr">
        <is>
          <t>BORLÄNGE</t>
        </is>
      </c>
      <c r="F650" t="inlineStr">
        <is>
          <t>Kommuner</t>
        </is>
      </c>
      <c r="G650" t="n">
        <v>5</v>
      </c>
      <c r="H650" t="n">
        <v>0</v>
      </c>
      <c r="I650" t="n">
        <v>0</v>
      </c>
      <c r="J650" t="n">
        <v>1</v>
      </c>
      <c r="K650" t="n">
        <v>1</v>
      </c>
      <c r="L650" t="n">
        <v>0</v>
      </c>
      <c r="M650" t="n">
        <v>0</v>
      </c>
      <c r="N650" t="n">
        <v>0</v>
      </c>
      <c r="O650" t="n">
        <v>2</v>
      </c>
      <c r="P650" t="n">
        <v>1</v>
      </c>
      <c r="Q650" t="n">
        <v>2</v>
      </c>
      <c r="R650" s="2" t="inlineStr">
        <is>
          <t>Rynkskinn
Ullticka</t>
        </is>
      </c>
      <c r="S650">
        <f>HYPERLINK("https://klasma.github.io/Logging_2081/artfynd/A 3060-2025 artfynd.xlsx", "A 3060-2025")</f>
        <v/>
      </c>
      <c r="T650">
        <f>HYPERLINK("https://klasma.github.io/Logging_2081/kartor/A 3060-2025 karta.png", "A 3060-2025")</f>
        <v/>
      </c>
      <c r="V650">
        <f>HYPERLINK("https://klasma.github.io/Logging_2081/klagomål/A 3060-2025 FSC-klagomål.docx", "A 3060-2025")</f>
        <v/>
      </c>
      <c r="W650">
        <f>HYPERLINK("https://klasma.github.io/Logging_2081/klagomålsmail/A 3060-2025 FSC-klagomål mail.docx", "A 3060-2025")</f>
        <v/>
      </c>
      <c r="X650">
        <f>HYPERLINK("https://klasma.github.io/Logging_2081/tillsyn/A 3060-2025 tillsynsbegäran.docx", "A 3060-2025")</f>
        <v/>
      </c>
      <c r="Y650">
        <f>HYPERLINK("https://klasma.github.io/Logging_2081/tillsynsmail/A 3060-2025 tillsynsbegäran mail.docx", "A 3060-2025")</f>
        <v/>
      </c>
    </row>
    <row r="651" ht="15" customHeight="1">
      <c r="A651" t="inlineStr">
        <is>
          <t>A 3067-2025</t>
        </is>
      </c>
      <c r="B651" s="1" t="n">
        <v>45678</v>
      </c>
      <c r="C651" s="1" t="n">
        <v>45706</v>
      </c>
      <c r="D651" t="inlineStr">
        <is>
          <t>DALARNAS LÄN</t>
        </is>
      </c>
      <c r="E651" t="inlineStr">
        <is>
          <t>BORLÄNGE</t>
        </is>
      </c>
      <c r="F651" t="inlineStr">
        <is>
          <t>Kommuner</t>
        </is>
      </c>
      <c r="G651" t="n">
        <v>8</v>
      </c>
      <c r="H651" t="n">
        <v>0</v>
      </c>
      <c r="I651" t="n">
        <v>1</v>
      </c>
      <c r="J651" t="n">
        <v>1</v>
      </c>
      <c r="K651" t="n">
        <v>0</v>
      </c>
      <c r="L651" t="n">
        <v>0</v>
      </c>
      <c r="M651" t="n">
        <v>0</v>
      </c>
      <c r="N651" t="n">
        <v>0</v>
      </c>
      <c r="O651" t="n">
        <v>1</v>
      </c>
      <c r="P651" t="n">
        <v>0</v>
      </c>
      <c r="Q651" t="n">
        <v>2</v>
      </c>
      <c r="R651" s="2" t="inlineStr">
        <is>
          <t>Garnlav
Vedticka</t>
        </is>
      </c>
      <c r="S651">
        <f>HYPERLINK("https://klasma.github.io/Logging_2081/artfynd/A 3067-2025 artfynd.xlsx", "A 3067-2025")</f>
        <v/>
      </c>
      <c r="T651">
        <f>HYPERLINK("https://klasma.github.io/Logging_2081/kartor/A 3067-2025 karta.png",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row>
    <row r="652" ht="15" customHeight="1">
      <c r="A652" t="inlineStr">
        <is>
          <t>A 5851-2025</t>
        </is>
      </c>
      <c r="B652" s="1" t="n">
        <v>45695</v>
      </c>
      <c r="C652" s="1" t="n">
        <v>45706</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45706</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45706</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45706</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45706</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45706</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45706</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45706</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45706</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45706</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45706</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45706</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45706</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45706</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45706</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45706</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4998-2020</t>
        </is>
      </c>
      <c r="B668" s="1" t="n">
        <v>43859</v>
      </c>
      <c r="C668" s="1" t="n">
        <v>45706</v>
      </c>
      <c r="D668" t="inlineStr">
        <is>
          <t>DALARNAS LÄN</t>
        </is>
      </c>
      <c r="E668" t="inlineStr">
        <is>
          <t>AVESTA</t>
        </is>
      </c>
      <c r="G668" t="n">
        <v>5.3</v>
      </c>
      <c r="H668" t="n">
        <v>1</v>
      </c>
      <c r="I668" t="n">
        <v>0</v>
      </c>
      <c r="J668" t="n">
        <v>0</v>
      </c>
      <c r="K668" t="n">
        <v>1</v>
      </c>
      <c r="L668" t="n">
        <v>0</v>
      </c>
      <c r="M668" t="n">
        <v>0</v>
      </c>
      <c r="N668" t="n">
        <v>0</v>
      </c>
      <c r="O668" t="n">
        <v>1</v>
      </c>
      <c r="P668" t="n">
        <v>1</v>
      </c>
      <c r="Q668" t="n">
        <v>1</v>
      </c>
      <c r="R668" s="2" t="inlineStr">
        <is>
          <t>Knärot</t>
        </is>
      </c>
      <c r="S668">
        <f>HYPERLINK("https://klasma.github.io/Logging_2084/artfynd/A 4998-2020 artfynd.xlsx", "A 4998-2020")</f>
        <v/>
      </c>
      <c r="T668">
        <f>HYPERLINK("https://klasma.github.io/Logging_2084/kartor/A 4998-2020 karta.png", "A 4998-2020")</f>
        <v/>
      </c>
      <c r="U668">
        <f>HYPERLINK("https://klasma.github.io/Logging_2084/knärot/A 4998-2020 karta knärot.png", "A 4998-2020")</f>
        <v/>
      </c>
      <c r="V668">
        <f>HYPERLINK("https://klasma.github.io/Logging_2084/klagomål/A 4998-2020 FSC-klagomål.docx", "A 4998-2020")</f>
        <v/>
      </c>
      <c r="W668">
        <f>HYPERLINK("https://klasma.github.io/Logging_2084/klagomålsmail/A 4998-2020 FSC-klagomål mail.docx", "A 4998-2020")</f>
        <v/>
      </c>
      <c r="X668">
        <f>HYPERLINK("https://klasma.github.io/Logging_2084/tillsyn/A 4998-2020 tillsynsbegäran.docx", "A 4998-2020")</f>
        <v/>
      </c>
      <c r="Y668">
        <f>HYPERLINK("https://klasma.github.io/Logging_2084/tillsynsmail/A 4998-2020 tillsynsbegäran mail.docx", "A 4998-2020")</f>
        <v/>
      </c>
    </row>
    <row r="669" ht="15" customHeight="1">
      <c r="A669" t="inlineStr">
        <is>
          <t>A 8494-2020</t>
        </is>
      </c>
      <c r="B669" s="1" t="n">
        <v>43875</v>
      </c>
      <c r="C669" s="1" t="n">
        <v>45706</v>
      </c>
      <c r="D669" t="inlineStr">
        <is>
          <t>DALARNAS LÄN</t>
        </is>
      </c>
      <c r="E669" t="inlineStr">
        <is>
          <t>HEDEMORA</t>
        </is>
      </c>
      <c r="G669" t="n">
        <v>11</v>
      </c>
      <c r="H669" t="n">
        <v>1</v>
      </c>
      <c r="I669" t="n">
        <v>0</v>
      </c>
      <c r="J669" t="n">
        <v>0</v>
      </c>
      <c r="K669" t="n">
        <v>1</v>
      </c>
      <c r="L669" t="n">
        <v>0</v>
      </c>
      <c r="M669" t="n">
        <v>0</v>
      </c>
      <c r="N669" t="n">
        <v>0</v>
      </c>
      <c r="O669" t="n">
        <v>1</v>
      </c>
      <c r="P669" t="n">
        <v>1</v>
      </c>
      <c r="Q669" t="n">
        <v>1</v>
      </c>
      <c r="R669" s="2" t="inlineStr">
        <is>
          <t>Knärot</t>
        </is>
      </c>
      <c r="S669">
        <f>HYPERLINK("https://klasma.github.io/Logging_2083/artfynd/A 8494-2020 artfynd.xlsx", "A 8494-2020")</f>
        <v/>
      </c>
      <c r="T669">
        <f>HYPERLINK("https://klasma.github.io/Logging_2083/kartor/A 8494-2020 karta.png", "A 8494-2020")</f>
        <v/>
      </c>
      <c r="U669">
        <f>HYPERLINK("https://klasma.github.io/Logging_2083/knärot/A 8494-2020 karta knärot.png", "A 8494-2020")</f>
        <v/>
      </c>
      <c r="V669">
        <f>HYPERLINK("https://klasma.github.io/Logging_2083/klagomål/A 8494-2020 FSC-klagomål.docx", "A 8494-2020")</f>
        <v/>
      </c>
      <c r="W669">
        <f>HYPERLINK("https://klasma.github.io/Logging_2083/klagomålsmail/A 8494-2020 FSC-klagomål mail.docx", "A 8494-2020")</f>
        <v/>
      </c>
      <c r="X669">
        <f>HYPERLINK("https://klasma.github.io/Logging_2083/tillsyn/A 8494-2020 tillsynsbegäran.docx", "A 8494-2020")</f>
        <v/>
      </c>
      <c r="Y669">
        <f>HYPERLINK("https://klasma.github.io/Logging_2083/tillsynsmail/A 8494-2020 tillsynsbegäran mail.docx", "A 8494-2020")</f>
        <v/>
      </c>
    </row>
    <row r="670" ht="15" customHeight="1">
      <c r="A670" t="inlineStr">
        <is>
          <t>A 9058-2020</t>
        </is>
      </c>
      <c r="B670" s="1" t="n">
        <v>43879</v>
      </c>
      <c r="C670" s="1" t="n">
        <v>45706</v>
      </c>
      <c r="D670" t="inlineStr">
        <is>
          <t>DALARNAS LÄN</t>
        </is>
      </c>
      <c r="E670" t="inlineStr">
        <is>
          <t>HEDEMORA</t>
        </is>
      </c>
      <c r="G670" t="n">
        <v>0.5</v>
      </c>
      <c r="H670" t="n">
        <v>0</v>
      </c>
      <c r="I670" t="n">
        <v>1</v>
      </c>
      <c r="J670" t="n">
        <v>0</v>
      </c>
      <c r="K670" t="n">
        <v>0</v>
      </c>
      <c r="L670" t="n">
        <v>0</v>
      </c>
      <c r="M670" t="n">
        <v>0</v>
      </c>
      <c r="N670" t="n">
        <v>0</v>
      </c>
      <c r="O670" t="n">
        <v>0</v>
      </c>
      <c r="P670" t="n">
        <v>0</v>
      </c>
      <c r="Q670" t="n">
        <v>1</v>
      </c>
      <c r="R670" s="2" t="inlineStr">
        <is>
          <t>Tibast</t>
        </is>
      </c>
      <c r="S670">
        <f>HYPERLINK("https://klasma.github.io/Logging_2083/artfynd/A 9058-2020 artfynd.xlsx", "A 9058-2020")</f>
        <v/>
      </c>
      <c r="T670">
        <f>HYPERLINK("https://klasma.github.io/Logging_2083/kartor/A 9058-2020 karta.png", "A 9058-2020")</f>
        <v/>
      </c>
      <c r="V670">
        <f>HYPERLINK("https://klasma.github.io/Logging_2083/klagomål/A 9058-2020 FSC-klagomål.docx", "A 9058-2020")</f>
        <v/>
      </c>
      <c r="W670">
        <f>HYPERLINK("https://klasma.github.io/Logging_2083/klagomålsmail/A 9058-2020 FSC-klagomål mail.docx", "A 9058-2020")</f>
        <v/>
      </c>
      <c r="X670">
        <f>HYPERLINK("https://klasma.github.io/Logging_2083/tillsyn/A 9058-2020 tillsynsbegäran.docx", "A 9058-2020")</f>
        <v/>
      </c>
      <c r="Y670">
        <f>HYPERLINK("https://klasma.github.io/Logging_2083/tillsynsmail/A 9058-2020 tillsynsbegäran mail.docx", "A 9058-2020")</f>
        <v/>
      </c>
    </row>
    <row r="671" ht="15" customHeight="1">
      <c r="A671" t="inlineStr">
        <is>
          <t>A 9056-2020</t>
        </is>
      </c>
      <c r="B671" s="1" t="n">
        <v>43879</v>
      </c>
      <c r="C671" s="1" t="n">
        <v>45706</v>
      </c>
      <c r="D671" t="inlineStr">
        <is>
          <t>DALARNAS LÄN</t>
        </is>
      </c>
      <c r="E671" t="inlineStr">
        <is>
          <t>HEDEMORA</t>
        </is>
      </c>
      <c r="G671" t="n">
        <v>1.4</v>
      </c>
      <c r="H671" t="n">
        <v>0</v>
      </c>
      <c r="I671" t="n">
        <v>0</v>
      </c>
      <c r="J671" t="n">
        <v>1</v>
      </c>
      <c r="K671" t="n">
        <v>0</v>
      </c>
      <c r="L671" t="n">
        <v>0</v>
      </c>
      <c r="M671" t="n">
        <v>0</v>
      </c>
      <c r="N671" t="n">
        <v>0</v>
      </c>
      <c r="O671" t="n">
        <v>1</v>
      </c>
      <c r="P671" t="n">
        <v>0</v>
      </c>
      <c r="Q671" t="n">
        <v>1</v>
      </c>
      <c r="R671" s="2" t="inlineStr">
        <is>
          <t>Garnlav</t>
        </is>
      </c>
      <c r="S671">
        <f>HYPERLINK("https://klasma.github.io/Logging_2083/artfynd/A 9056-2020 artfynd.xlsx", "A 9056-2020")</f>
        <v/>
      </c>
      <c r="T671">
        <f>HYPERLINK("https://klasma.github.io/Logging_2083/kartor/A 9056-2020 karta.png", "A 9056-2020")</f>
        <v/>
      </c>
      <c r="V671">
        <f>HYPERLINK("https://klasma.github.io/Logging_2083/klagomål/A 9056-2020 FSC-klagomål.docx", "A 9056-2020")</f>
        <v/>
      </c>
      <c r="W671">
        <f>HYPERLINK("https://klasma.github.io/Logging_2083/klagomålsmail/A 9056-2020 FSC-klagomål mail.docx", "A 9056-2020")</f>
        <v/>
      </c>
      <c r="X671">
        <f>HYPERLINK("https://klasma.github.io/Logging_2083/tillsyn/A 9056-2020 tillsynsbegäran.docx", "A 9056-2020")</f>
        <v/>
      </c>
      <c r="Y671">
        <f>HYPERLINK("https://klasma.github.io/Logging_2083/tillsynsmail/A 9056-2020 tillsynsbegäran mail.docx", "A 9056-2020")</f>
        <v/>
      </c>
    </row>
    <row r="672" ht="15" customHeight="1">
      <c r="A672" t="inlineStr">
        <is>
          <t>A 11129-2020</t>
        </is>
      </c>
      <c r="B672" s="1" t="n">
        <v>43889</v>
      </c>
      <c r="C672" s="1" t="n">
        <v>45706</v>
      </c>
      <c r="D672" t="inlineStr">
        <is>
          <t>DALARNAS LÄN</t>
        </is>
      </c>
      <c r="E672" t="inlineStr">
        <is>
          <t>HEDEMORA</t>
        </is>
      </c>
      <c r="G672" t="n">
        <v>2.1</v>
      </c>
      <c r="H672" t="n">
        <v>0</v>
      </c>
      <c r="I672" t="n">
        <v>1</v>
      </c>
      <c r="J672" t="n">
        <v>0</v>
      </c>
      <c r="K672" t="n">
        <v>0</v>
      </c>
      <c r="L672" t="n">
        <v>0</v>
      </c>
      <c r="M672" t="n">
        <v>0</v>
      </c>
      <c r="N672" t="n">
        <v>0</v>
      </c>
      <c r="O672" t="n">
        <v>0</v>
      </c>
      <c r="P672" t="n">
        <v>0</v>
      </c>
      <c r="Q672" t="n">
        <v>1</v>
      </c>
      <c r="R672" s="2" t="inlineStr">
        <is>
          <t>Bollvitmossa</t>
        </is>
      </c>
      <c r="S672">
        <f>HYPERLINK("https://klasma.github.io/Logging_2083/artfynd/A 11129-2020 artfynd.xlsx", "A 11129-2020")</f>
        <v/>
      </c>
      <c r="T672">
        <f>HYPERLINK("https://klasma.github.io/Logging_2083/kartor/A 11129-2020 karta.png", "A 11129-2020")</f>
        <v/>
      </c>
      <c r="V672">
        <f>HYPERLINK("https://klasma.github.io/Logging_2083/klagomål/A 11129-2020 FSC-klagomål.docx", "A 11129-2020")</f>
        <v/>
      </c>
      <c r="W672">
        <f>HYPERLINK("https://klasma.github.io/Logging_2083/klagomålsmail/A 11129-2020 FSC-klagomål mail.docx", "A 11129-2020")</f>
        <v/>
      </c>
      <c r="X672">
        <f>HYPERLINK("https://klasma.github.io/Logging_2083/tillsyn/A 11129-2020 tillsynsbegäran.docx", "A 11129-2020")</f>
        <v/>
      </c>
      <c r="Y672">
        <f>HYPERLINK("https://klasma.github.io/Logging_2083/tillsynsmail/A 11129-2020 tillsynsbegäran mail.docx", "A 11129-2020")</f>
        <v/>
      </c>
    </row>
    <row r="673" ht="15" customHeight="1">
      <c r="A673" t="inlineStr">
        <is>
          <t>A 12761-2020</t>
        </is>
      </c>
      <c r="B673" s="1" t="n">
        <v>43899</v>
      </c>
      <c r="C673" s="1" t="n">
        <v>45706</v>
      </c>
      <c r="D673" t="inlineStr">
        <is>
          <t>DALARNAS LÄN</t>
        </is>
      </c>
      <c r="E673" t="inlineStr">
        <is>
          <t>MALUNG-SÄLEN</t>
        </is>
      </c>
      <c r="G673" t="n">
        <v>1.4</v>
      </c>
      <c r="H673" t="n">
        <v>0</v>
      </c>
      <c r="I673" t="n">
        <v>0</v>
      </c>
      <c r="J673" t="n">
        <v>1</v>
      </c>
      <c r="K673" t="n">
        <v>0</v>
      </c>
      <c r="L673" t="n">
        <v>0</v>
      </c>
      <c r="M673" t="n">
        <v>0</v>
      </c>
      <c r="N673" t="n">
        <v>0</v>
      </c>
      <c r="O673" t="n">
        <v>1</v>
      </c>
      <c r="P673" t="n">
        <v>0</v>
      </c>
      <c r="Q673" t="n">
        <v>1</v>
      </c>
      <c r="R673" s="2" t="inlineStr">
        <is>
          <t>Motaggsvamp</t>
        </is>
      </c>
      <c r="S673">
        <f>HYPERLINK("https://klasma.github.io/Logging_2023/artfynd/A 12761-2020 artfynd.xlsx", "A 12761-2020")</f>
        <v/>
      </c>
      <c r="T673">
        <f>HYPERLINK("https://klasma.github.io/Logging_2023/kartor/A 12761-2020 karta.png", "A 12761-2020")</f>
        <v/>
      </c>
      <c r="V673">
        <f>HYPERLINK("https://klasma.github.io/Logging_2023/klagomål/A 12761-2020 FSC-klagomål.docx", "A 12761-2020")</f>
        <v/>
      </c>
      <c r="W673">
        <f>HYPERLINK("https://klasma.github.io/Logging_2023/klagomålsmail/A 12761-2020 FSC-klagomål mail.docx", "A 12761-2020")</f>
        <v/>
      </c>
      <c r="X673">
        <f>HYPERLINK("https://klasma.github.io/Logging_2023/tillsyn/A 12761-2020 tillsynsbegäran.docx", "A 12761-2020")</f>
        <v/>
      </c>
      <c r="Y673">
        <f>HYPERLINK("https://klasma.github.io/Logging_2023/tillsynsmail/A 12761-2020 tillsynsbegäran mail.docx", "A 12761-2020")</f>
        <v/>
      </c>
    </row>
    <row r="674" ht="15" customHeight="1">
      <c r="A674" t="inlineStr">
        <is>
          <t>A 17882-2020</t>
        </is>
      </c>
      <c r="B674" s="1" t="n">
        <v>43924</v>
      </c>
      <c r="C674" s="1" t="n">
        <v>45706</v>
      </c>
      <c r="D674" t="inlineStr">
        <is>
          <t>DALARNAS LÄN</t>
        </is>
      </c>
      <c r="E674" t="inlineStr">
        <is>
          <t>HEDEMORA</t>
        </is>
      </c>
      <c r="G674" t="n">
        <v>9.300000000000001</v>
      </c>
      <c r="H674" t="n">
        <v>1</v>
      </c>
      <c r="I674" t="n">
        <v>0</v>
      </c>
      <c r="J674" t="n">
        <v>0</v>
      </c>
      <c r="K674" t="n">
        <v>0</v>
      </c>
      <c r="L674" t="n">
        <v>0</v>
      </c>
      <c r="M674" t="n">
        <v>0</v>
      </c>
      <c r="N674" t="n">
        <v>0</v>
      </c>
      <c r="O674" t="n">
        <v>0</v>
      </c>
      <c r="P674" t="n">
        <v>0</v>
      </c>
      <c r="Q674" t="n">
        <v>1</v>
      </c>
      <c r="R674" s="2" t="inlineStr">
        <is>
          <t>Tjäder</t>
        </is>
      </c>
      <c r="S674">
        <f>HYPERLINK("https://klasma.github.io/Logging_2083/artfynd/A 17882-2020 artfynd.xlsx", "A 17882-2020")</f>
        <v/>
      </c>
      <c r="T674">
        <f>HYPERLINK("https://klasma.github.io/Logging_2083/kartor/A 17882-2020 karta.png", "A 17882-2020")</f>
        <v/>
      </c>
      <c r="V674">
        <f>HYPERLINK("https://klasma.github.io/Logging_2083/klagomål/A 17882-2020 FSC-klagomål.docx", "A 17882-2020")</f>
        <v/>
      </c>
      <c r="W674">
        <f>HYPERLINK("https://klasma.github.io/Logging_2083/klagomålsmail/A 17882-2020 FSC-klagomål mail.docx", "A 17882-2020")</f>
        <v/>
      </c>
      <c r="X674">
        <f>HYPERLINK("https://klasma.github.io/Logging_2083/tillsyn/A 17882-2020 tillsynsbegäran.docx", "A 17882-2020")</f>
        <v/>
      </c>
      <c r="Y674">
        <f>HYPERLINK("https://klasma.github.io/Logging_2083/tillsynsmail/A 17882-2020 tillsynsbegäran mail.docx", "A 17882-2020")</f>
        <v/>
      </c>
      <c r="Z674">
        <f>HYPERLINK("https://klasma.github.io/Logging_2083/fåglar/A 17882-2020 prioriterade fågelarter.docx", "A 17882-2020")</f>
        <v/>
      </c>
    </row>
    <row r="675" ht="15" customHeight="1">
      <c r="A675" t="inlineStr">
        <is>
          <t>A 18227-2020</t>
        </is>
      </c>
      <c r="B675" s="1" t="n">
        <v>43928</v>
      </c>
      <c r="C675" s="1" t="n">
        <v>45706</v>
      </c>
      <c r="D675" t="inlineStr">
        <is>
          <t>DALARNAS LÄN</t>
        </is>
      </c>
      <c r="E675" t="inlineStr">
        <is>
          <t>ÄLVDALEN</t>
        </is>
      </c>
      <c r="F675" t="inlineStr">
        <is>
          <t>Sveaskog</t>
        </is>
      </c>
      <c r="G675" t="n">
        <v>13.1</v>
      </c>
      <c r="H675" t="n">
        <v>1</v>
      </c>
      <c r="I675" t="n">
        <v>0</v>
      </c>
      <c r="J675" t="n">
        <v>1</v>
      </c>
      <c r="K675" t="n">
        <v>0</v>
      </c>
      <c r="L675" t="n">
        <v>0</v>
      </c>
      <c r="M675" t="n">
        <v>0</v>
      </c>
      <c r="N675" t="n">
        <v>0</v>
      </c>
      <c r="O675" t="n">
        <v>1</v>
      </c>
      <c r="P675" t="n">
        <v>0</v>
      </c>
      <c r="Q675" t="n">
        <v>1</v>
      </c>
      <c r="R675" s="2" t="inlineStr">
        <is>
          <t>Varglav</t>
        </is>
      </c>
      <c r="S675">
        <f>HYPERLINK("https://klasma.github.io/Logging_2039/artfynd/A 18227-2020 artfynd.xlsx", "A 18227-2020")</f>
        <v/>
      </c>
      <c r="T675">
        <f>HYPERLINK("https://klasma.github.io/Logging_2039/kartor/A 18227-2020 karta.png", "A 18227-2020")</f>
        <v/>
      </c>
      <c r="V675">
        <f>HYPERLINK("https://klasma.github.io/Logging_2039/klagomål/A 18227-2020 FSC-klagomål.docx", "A 18227-2020")</f>
        <v/>
      </c>
      <c r="W675">
        <f>HYPERLINK("https://klasma.github.io/Logging_2039/klagomålsmail/A 18227-2020 FSC-klagomål mail.docx", "A 18227-2020")</f>
        <v/>
      </c>
      <c r="X675">
        <f>HYPERLINK("https://klasma.github.io/Logging_2039/tillsyn/A 18227-2020 tillsynsbegäran.docx", "A 18227-2020")</f>
        <v/>
      </c>
      <c r="Y675">
        <f>HYPERLINK("https://klasma.github.io/Logging_2039/tillsynsmail/A 18227-2020 tillsynsbegäran mail.docx", "A 18227-2020")</f>
        <v/>
      </c>
    </row>
    <row r="676" ht="15" customHeight="1">
      <c r="A676" t="inlineStr">
        <is>
          <t>A 19669-2020</t>
        </is>
      </c>
      <c r="B676" s="1" t="n">
        <v>43937</v>
      </c>
      <c r="C676" s="1" t="n">
        <v>45706</v>
      </c>
      <c r="D676" t="inlineStr">
        <is>
          <t>DALARNAS LÄN</t>
        </is>
      </c>
      <c r="E676" t="inlineStr">
        <is>
          <t>ÄLVDALEN</t>
        </is>
      </c>
      <c r="F676" t="inlineStr">
        <is>
          <t>Sveaskog</t>
        </is>
      </c>
      <c r="G676" t="n">
        <v>12.9</v>
      </c>
      <c r="H676" t="n">
        <v>1</v>
      </c>
      <c r="I676" t="n">
        <v>0</v>
      </c>
      <c r="J676" t="n">
        <v>1</v>
      </c>
      <c r="K676" t="n">
        <v>0</v>
      </c>
      <c r="L676" t="n">
        <v>0</v>
      </c>
      <c r="M676" t="n">
        <v>0</v>
      </c>
      <c r="N676" t="n">
        <v>0</v>
      </c>
      <c r="O676" t="n">
        <v>1</v>
      </c>
      <c r="P676" t="n">
        <v>0</v>
      </c>
      <c r="Q676" t="n">
        <v>1</v>
      </c>
      <c r="R676" s="2" t="inlineStr">
        <is>
          <t>Varglav</t>
        </is>
      </c>
      <c r="S676">
        <f>HYPERLINK("https://klasma.github.io/Logging_2039/artfynd/A 19669-2020 artfynd.xlsx", "A 19669-2020")</f>
        <v/>
      </c>
      <c r="T676">
        <f>HYPERLINK("https://klasma.github.io/Logging_2039/kartor/A 19669-2020 karta.png", "A 19669-2020")</f>
        <v/>
      </c>
      <c r="V676">
        <f>HYPERLINK("https://klasma.github.io/Logging_2039/klagomål/A 19669-2020 FSC-klagomål.docx", "A 19669-2020")</f>
        <v/>
      </c>
      <c r="W676">
        <f>HYPERLINK("https://klasma.github.io/Logging_2039/klagomålsmail/A 19669-2020 FSC-klagomål mail.docx", "A 19669-2020")</f>
        <v/>
      </c>
      <c r="X676">
        <f>HYPERLINK("https://klasma.github.io/Logging_2039/tillsyn/A 19669-2020 tillsynsbegäran.docx", "A 19669-2020")</f>
        <v/>
      </c>
      <c r="Y676">
        <f>HYPERLINK("https://klasma.github.io/Logging_2039/tillsynsmail/A 19669-2020 tillsynsbegäran mail.docx", "A 19669-2020")</f>
        <v/>
      </c>
    </row>
    <row r="677" ht="15" customHeight="1">
      <c r="A677" t="inlineStr">
        <is>
          <t>A 19759-2020</t>
        </is>
      </c>
      <c r="B677" s="1" t="n">
        <v>43942</v>
      </c>
      <c r="C677" s="1" t="n">
        <v>45706</v>
      </c>
      <c r="D677" t="inlineStr">
        <is>
          <t>DALARNAS LÄN</t>
        </is>
      </c>
      <c r="E677" t="inlineStr">
        <is>
          <t>MALUNG-SÄLEN</t>
        </is>
      </c>
      <c r="G677" t="n">
        <v>3.8</v>
      </c>
      <c r="H677" t="n">
        <v>1</v>
      </c>
      <c r="I677" t="n">
        <v>0</v>
      </c>
      <c r="J677" t="n">
        <v>0</v>
      </c>
      <c r="K677" t="n">
        <v>0</v>
      </c>
      <c r="L677" t="n">
        <v>1</v>
      </c>
      <c r="M677" t="n">
        <v>0</v>
      </c>
      <c r="N677" t="n">
        <v>0</v>
      </c>
      <c r="O677" t="n">
        <v>1</v>
      </c>
      <c r="P677" t="n">
        <v>1</v>
      </c>
      <c r="Q677" t="n">
        <v>1</v>
      </c>
      <c r="R677" s="2" t="inlineStr">
        <is>
          <t>Mosippa</t>
        </is>
      </c>
      <c r="S677">
        <f>HYPERLINK("https://klasma.github.io/Logging_2023/artfynd/A 19759-2020 artfynd.xlsx", "A 19759-2020")</f>
        <v/>
      </c>
      <c r="T677">
        <f>HYPERLINK("https://klasma.github.io/Logging_2023/kartor/A 19759-2020 karta.png", "A 19759-2020")</f>
        <v/>
      </c>
      <c r="V677">
        <f>HYPERLINK("https://klasma.github.io/Logging_2023/klagomål/A 19759-2020 FSC-klagomål.docx", "A 19759-2020")</f>
        <v/>
      </c>
      <c r="W677">
        <f>HYPERLINK("https://klasma.github.io/Logging_2023/klagomålsmail/A 19759-2020 FSC-klagomål mail.docx", "A 19759-2020")</f>
        <v/>
      </c>
      <c r="X677">
        <f>HYPERLINK("https://klasma.github.io/Logging_2023/tillsyn/A 19759-2020 tillsynsbegäran.docx", "A 19759-2020")</f>
        <v/>
      </c>
      <c r="Y677">
        <f>HYPERLINK("https://klasma.github.io/Logging_2023/tillsynsmail/A 19759-2020 tillsynsbegäran mail.docx", "A 19759-2020")</f>
        <v/>
      </c>
    </row>
    <row r="678" ht="15" customHeight="1">
      <c r="A678" t="inlineStr">
        <is>
          <t>A 23553-2020</t>
        </is>
      </c>
      <c r="B678" s="1" t="n">
        <v>43969</v>
      </c>
      <c r="C678" s="1" t="n">
        <v>45706</v>
      </c>
      <c r="D678" t="inlineStr">
        <is>
          <t>DALARNAS LÄN</t>
        </is>
      </c>
      <c r="E678" t="inlineStr">
        <is>
          <t>BORLÄNGE</t>
        </is>
      </c>
      <c r="F678" t="inlineStr">
        <is>
          <t>Bergvik skog väst AB</t>
        </is>
      </c>
      <c r="G678" t="n">
        <v>13</v>
      </c>
      <c r="H678" t="n">
        <v>1</v>
      </c>
      <c r="I678" t="n">
        <v>0</v>
      </c>
      <c r="J678" t="n">
        <v>0</v>
      </c>
      <c r="K678" t="n">
        <v>0</v>
      </c>
      <c r="L678" t="n">
        <v>0</v>
      </c>
      <c r="M678" t="n">
        <v>0</v>
      </c>
      <c r="N678" t="n">
        <v>0</v>
      </c>
      <c r="O678" t="n">
        <v>0</v>
      </c>
      <c r="P678" t="n">
        <v>0</v>
      </c>
      <c r="Q678" t="n">
        <v>1</v>
      </c>
      <c r="R678" s="2" t="inlineStr">
        <is>
          <t>Fläcknycklar</t>
        </is>
      </c>
      <c r="S678">
        <f>HYPERLINK("https://klasma.github.io/Logging_2081/artfynd/A 23553-2020 artfynd.xlsx", "A 23553-2020")</f>
        <v/>
      </c>
      <c r="T678">
        <f>HYPERLINK("https://klasma.github.io/Logging_2081/kartor/A 23553-2020 karta.png", "A 23553-2020")</f>
        <v/>
      </c>
      <c r="V678">
        <f>HYPERLINK("https://klasma.github.io/Logging_2081/klagomål/A 23553-2020 FSC-klagomål.docx", "A 23553-2020")</f>
        <v/>
      </c>
      <c r="W678">
        <f>HYPERLINK("https://klasma.github.io/Logging_2081/klagomålsmail/A 23553-2020 FSC-klagomål mail.docx", "A 23553-2020")</f>
        <v/>
      </c>
      <c r="X678">
        <f>HYPERLINK("https://klasma.github.io/Logging_2081/tillsyn/A 23553-2020 tillsynsbegäran.docx", "A 23553-2020")</f>
        <v/>
      </c>
      <c r="Y678">
        <f>HYPERLINK("https://klasma.github.io/Logging_2081/tillsynsmail/A 23553-2020 tillsynsbegäran mail.docx", "A 23553-2020")</f>
        <v/>
      </c>
    </row>
    <row r="679" ht="15" customHeight="1">
      <c r="A679" t="inlineStr">
        <is>
          <t>A 24759-2020</t>
        </is>
      </c>
      <c r="B679" s="1" t="n">
        <v>43978</v>
      </c>
      <c r="C679" s="1" t="n">
        <v>45706</v>
      </c>
      <c r="D679" t="inlineStr">
        <is>
          <t>DALARNAS LÄN</t>
        </is>
      </c>
      <c r="E679" t="inlineStr">
        <is>
          <t>HEDEMORA</t>
        </is>
      </c>
      <c r="F679" t="inlineStr">
        <is>
          <t>Sveaskog</t>
        </is>
      </c>
      <c r="G679" t="n">
        <v>9.699999999999999</v>
      </c>
      <c r="H679" t="n">
        <v>1</v>
      </c>
      <c r="I679" t="n">
        <v>0</v>
      </c>
      <c r="J679" t="n">
        <v>0</v>
      </c>
      <c r="K679" t="n">
        <v>0</v>
      </c>
      <c r="L679" t="n">
        <v>0</v>
      </c>
      <c r="M679" t="n">
        <v>0</v>
      </c>
      <c r="N679" t="n">
        <v>0</v>
      </c>
      <c r="O679" t="n">
        <v>0</v>
      </c>
      <c r="P679" t="n">
        <v>0</v>
      </c>
      <c r="Q679" t="n">
        <v>1</v>
      </c>
      <c r="R679" s="2" t="inlineStr">
        <is>
          <t>Orre</t>
        </is>
      </c>
      <c r="S679">
        <f>HYPERLINK("https://klasma.github.io/Logging_2083/artfynd/A 24759-2020 artfynd.xlsx", "A 24759-2020")</f>
        <v/>
      </c>
      <c r="T679">
        <f>HYPERLINK("https://klasma.github.io/Logging_2083/kartor/A 24759-2020 karta.png", "A 24759-2020")</f>
        <v/>
      </c>
      <c r="V679">
        <f>HYPERLINK("https://klasma.github.io/Logging_2083/klagomål/A 24759-2020 FSC-klagomål.docx", "A 24759-2020")</f>
        <v/>
      </c>
      <c r="W679">
        <f>HYPERLINK("https://klasma.github.io/Logging_2083/klagomålsmail/A 24759-2020 FSC-klagomål mail.docx", "A 24759-2020")</f>
        <v/>
      </c>
      <c r="X679">
        <f>HYPERLINK("https://klasma.github.io/Logging_2083/tillsyn/A 24759-2020 tillsynsbegäran.docx", "A 24759-2020")</f>
        <v/>
      </c>
      <c r="Y679">
        <f>HYPERLINK("https://klasma.github.io/Logging_2083/tillsynsmail/A 24759-2020 tillsynsbegäran mail.docx", "A 24759-2020")</f>
        <v/>
      </c>
      <c r="Z679">
        <f>HYPERLINK("https://klasma.github.io/Logging_2083/fåglar/A 24759-2020 prioriterade fågelarter.docx", "A 24759-2020")</f>
        <v/>
      </c>
    </row>
    <row r="680" ht="15" customHeight="1">
      <c r="A680" t="inlineStr">
        <is>
          <t>A 25590-2020</t>
        </is>
      </c>
      <c r="B680" s="1" t="n">
        <v>43983</v>
      </c>
      <c r="C680" s="1" t="n">
        <v>45706</v>
      </c>
      <c r="D680" t="inlineStr">
        <is>
          <t>DALARNAS LÄN</t>
        </is>
      </c>
      <c r="E680" t="inlineStr">
        <is>
          <t>MALUNG-SÄLEN</t>
        </is>
      </c>
      <c r="F680" t="inlineStr">
        <is>
          <t>Allmännings- och besparingsskogar</t>
        </is>
      </c>
      <c r="G680" t="n">
        <v>2.2</v>
      </c>
      <c r="H680" t="n">
        <v>1</v>
      </c>
      <c r="I680" t="n">
        <v>0</v>
      </c>
      <c r="J680" t="n">
        <v>1</v>
      </c>
      <c r="K680" t="n">
        <v>0</v>
      </c>
      <c r="L680" t="n">
        <v>0</v>
      </c>
      <c r="M680" t="n">
        <v>0</v>
      </c>
      <c r="N680" t="n">
        <v>0</v>
      </c>
      <c r="O680" t="n">
        <v>1</v>
      </c>
      <c r="P680" t="n">
        <v>0</v>
      </c>
      <c r="Q680" t="n">
        <v>1</v>
      </c>
      <c r="R680" s="2" t="inlineStr">
        <is>
          <t>Tretåig hackspett</t>
        </is>
      </c>
      <c r="S680">
        <f>HYPERLINK("https://klasma.github.io/Logging_2023/artfynd/A 25590-2020 artfynd.xlsx", "A 25590-2020")</f>
        <v/>
      </c>
      <c r="T680">
        <f>HYPERLINK("https://klasma.github.io/Logging_2023/kartor/A 25590-2020 karta.png", "A 25590-2020")</f>
        <v/>
      </c>
      <c r="V680">
        <f>HYPERLINK("https://klasma.github.io/Logging_2023/klagomål/A 25590-2020 FSC-klagomål.docx", "A 25590-2020")</f>
        <v/>
      </c>
      <c r="W680">
        <f>HYPERLINK("https://klasma.github.io/Logging_2023/klagomålsmail/A 25590-2020 FSC-klagomål mail.docx", "A 25590-2020")</f>
        <v/>
      </c>
      <c r="X680">
        <f>HYPERLINK("https://klasma.github.io/Logging_2023/tillsyn/A 25590-2020 tillsynsbegäran.docx", "A 25590-2020")</f>
        <v/>
      </c>
      <c r="Y680">
        <f>HYPERLINK("https://klasma.github.io/Logging_2023/tillsynsmail/A 25590-2020 tillsynsbegäran mail.docx", "A 25590-2020")</f>
        <v/>
      </c>
      <c r="Z680">
        <f>HYPERLINK("https://klasma.github.io/Logging_2023/fåglar/A 25590-2020 prioriterade fågelarter.docx", "A 25590-2020")</f>
        <v/>
      </c>
    </row>
    <row r="681" ht="15" customHeight="1">
      <c r="A681" t="inlineStr">
        <is>
          <t>A 26557-2020</t>
        </is>
      </c>
      <c r="B681" s="1" t="n">
        <v>43987</v>
      </c>
      <c r="C681" s="1" t="n">
        <v>45706</v>
      </c>
      <c r="D681" t="inlineStr">
        <is>
          <t>DALARNAS LÄN</t>
        </is>
      </c>
      <c r="E681" t="inlineStr">
        <is>
          <t>MALUNG-SÄLEN</t>
        </is>
      </c>
      <c r="F681" t="inlineStr">
        <is>
          <t>Allmännings- och besparingsskogar</t>
        </is>
      </c>
      <c r="G681" t="n">
        <v>30.5</v>
      </c>
      <c r="H681" t="n">
        <v>1</v>
      </c>
      <c r="I681" t="n">
        <v>0</v>
      </c>
      <c r="J681" t="n">
        <v>0</v>
      </c>
      <c r="K681" t="n">
        <v>0</v>
      </c>
      <c r="L681" t="n">
        <v>0</v>
      </c>
      <c r="M681" t="n">
        <v>0</v>
      </c>
      <c r="N681" t="n">
        <v>0</v>
      </c>
      <c r="O681" t="n">
        <v>0</v>
      </c>
      <c r="P681" t="n">
        <v>0</v>
      </c>
      <c r="Q681" t="n">
        <v>1</v>
      </c>
      <c r="R681" s="2" t="inlineStr">
        <is>
          <t>Fläcknycklar</t>
        </is>
      </c>
      <c r="S681">
        <f>HYPERLINK("https://klasma.github.io/Logging_2023/artfynd/A 26557-2020 artfynd.xlsx", "A 26557-2020")</f>
        <v/>
      </c>
      <c r="T681">
        <f>HYPERLINK("https://klasma.github.io/Logging_2023/kartor/A 26557-2020 karta.png", "A 26557-2020")</f>
        <v/>
      </c>
      <c r="V681">
        <f>HYPERLINK("https://klasma.github.io/Logging_2023/klagomål/A 26557-2020 FSC-klagomål.docx", "A 26557-2020")</f>
        <v/>
      </c>
      <c r="W681">
        <f>HYPERLINK("https://klasma.github.io/Logging_2023/klagomålsmail/A 26557-2020 FSC-klagomål mail.docx", "A 26557-2020")</f>
        <v/>
      </c>
      <c r="X681">
        <f>HYPERLINK("https://klasma.github.io/Logging_2023/tillsyn/A 26557-2020 tillsynsbegäran.docx", "A 26557-2020")</f>
        <v/>
      </c>
      <c r="Y681">
        <f>HYPERLINK("https://klasma.github.io/Logging_2023/tillsynsmail/A 26557-2020 tillsynsbegäran mail.docx", "A 26557-2020")</f>
        <v/>
      </c>
    </row>
    <row r="682" ht="15" customHeight="1">
      <c r="A682" t="inlineStr">
        <is>
          <t>A 27562-2020</t>
        </is>
      </c>
      <c r="B682" s="1" t="n">
        <v>43993</v>
      </c>
      <c r="C682" s="1" t="n">
        <v>45706</v>
      </c>
      <c r="D682" t="inlineStr">
        <is>
          <t>DALARNAS LÄN</t>
        </is>
      </c>
      <c r="E682" t="inlineStr">
        <is>
          <t>LUDVIKA</t>
        </is>
      </c>
      <c r="F682" t="inlineStr">
        <is>
          <t>Bergvik skog väst AB</t>
        </is>
      </c>
      <c r="G682" t="n">
        <v>2</v>
      </c>
      <c r="H682" t="n">
        <v>0</v>
      </c>
      <c r="I682" t="n">
        <v>1</v>
      </c>
      <c r="J682" t="n">
        <v>0</v>
      </c>
      <c r="K682" t="n">
        <v>0</v>
      </c>
      <c r="L682" t="n">
        <v>0</v>
      </c>
      <c r="M682" t="n">
        <v>0</v>
      </c>
      <c r="N682" t="n">
        <v>0</v>
      </c>
      <c r="O682" t="n">
        <v>0</v>
      </c>
      <c r="P682" t="n">
        <v>0</v>
      </c>
      <c r="Q682" t="n">
        <v>1</v>
      </c>
      <c r="R682" s="2" t="inlineStr">
        <is>
          <t>Skinnlav</t>
        </is>
      </c>
      <c r="S682">
        <f>HYPERLINK("https://klasma.github.io/Logging_2085/artfynd/A 27562-2020 artfynd.xlsx", "A 27562-2020")</f>
        <v/>
      </c>
      <c r="T682">
        <f>HYPERLINK("https://klasma.github.io/Logging_2085/kartor/A 27562-2020 karta.png", "A 27562-2020")</f>
        <v/>
      </c>
      <c r="V682">
        <f>HYPERLINK("https://klasma.github.io/Logging_2085/klagomål/A 27562-2020 FSC-klagomål.docx", "A 27562-2020")</f>
        <v/>
      </c>
      <c r="W682">
        <f>HYPERLINK("https://klasma.github.io/Logging_2085/klagomålsmail/A 27562-2020 FSC-klagomål mail.docx", "A 27562-2020")</f>
        <v/>
      </c>
      <c r="X682">
        <f>HYPERLINK("https://klasma.github.io/Logging_2085/tillsyn/A 27562-2020 tillsynsbegäran.docx", "A 27562-2020")</f>
        <v/>
      </c>
      <c r="Y682">
        <f>HYPERLINK("https://klasma.github.io/Logging_2085/tillsynsmail/A 27562-2020 tillsynsbegäran mail.docx", "A 27562-2020")</f>
        <v/>
      </c>
    </row>
    <row r="683" ht="15" customHeight="1">
      <c r="A683" t="inlineStr">
        <is>
          <t>A 29857-2020</t>
        </is>
      </c>
      <c r="B683" s="1" t="n">
        <v>44006</v>
      </c>
      <c r="C683" s="1" t="n">
        <v>45706</v>
      </c>
      <c r="D683" t="inlineStr">
        <is>
          <t>DALARNAS LÄN</t>
        </is>
      </c>
      <c r="E683" t="inlineStr">
        <is>
          <t>HEDEMORA</t>
        </is>
      </c>
      <c r="G683" t="n">
        <v>0.4</v>
      </c>
      <c r="H683" t="n">
        <v>1</v>
      </c>
      <c r="I683" t="n">
        <v>0</v>
      </c>
      <c r="J683" t="n">
        <v>1</v>
      </c>
      <c r="K683" t="n">
        <v>0</v>
      </c>
      <c r="L683" t="n">
        <v>0</v>
      </c>
      <c r="M683" t="n">
        <v>0</v>
      </c>
      <c r="N683" t="n">
        <v>0</v>
      </c>
      <c r="O683" t="n">
        <v>1</v>
      </c>
      <c r="P683" t="n">
        <v>0</v>
      </c>
      <c r="Q683" t="n">
        <v>1</v>
      </c>
      <c r="R683" s="2" t="inlineStr">
        <is>
          <t>Gulsparv</t>
        </is>
      </c>
      <c r="S683">
        <f>HYPERLINK("https://klasma.github.io/Logging_2083/artfynd/A 29857-2020 artfynd.xlsx", "A 29857-2020")</f>
        <v/>
      </c>
      <c r="T683">
        <f>HYPERLINK("https://klasma.github.io/Logging_2083/kartor/A 29857-2020 karta.png", "A 29857-2020")</f>
        <v/>
      </c>
      <c r="V683">
        <f>HYPERLINK("https://klasma.github.io/Logging_2083/klagomål/A 29857-2020 FSC-klagomål.docx", "A 29857-2020")</f>
        <v/>
      </c>
      <c r="W683">
        <f>HYPERLINK("https://klasma.github.io/Logging_2083/klagomålsmail/A 29857-2020 FSC-klagomål mail.docx", "A 29857-2020")</f>
        <v/>
      </c>
      <c r="X683">
        <f>HYPERLINK("https://klasma.github.io/Logging_2083/tillsyn/A 29857-2020 tillsynsbegäran.docx", "A 29857-2020")</f>
        <v/>
      </c>
      <c r="Y683">
        <f>HYPERLINK("https://klasma.github.io/Logging_2083/tillsynsmail/A 29857-2020 tillsynsbegäran mail.docx", "A 29857-2020")</f>
        <v/>
      </c>
      <c r="Z683">
        <f>HYPERLINK("https://klasma.github.io/Logging_2083/fåglar/A 29857-2020 prioriterade fågelarter.docx", "A 29857-2020")</f>
        <v/>
      </c>
    </row>
    <row r="684" ht="15" customHeight="1">
      <c r="A684" t="inlineStr">
        <is>
          <t>A 33968-2020</t>
        </is>
      </c>
      <c r="B684" s="1" t="n">
        <v>44028</v>
      </c>
      <c r="C684" s="1" t="n">
        <v>45706</v>
      </c>
      <c r="D684" t="inlineStr">
        <is>
          <t>DALARNAS LÄN</t>
        </is>
      </c>
      <c r="E684" t="inlineStr">
        <is>
          <t>MORA</t>
        </is>
      </c>
      <c r="G684" t="n">
        <v>0.5</v>
      </c>
      <c r="H684" t="n">
        <v>1</v>
      </c>
      <c r="I684" t="n">
        <v>0</v>
      </c>
      <c r="J684" t="n">
        <v>1</v>
      </c>
      <c r="K684" t="n">
        <v>0</v>
      </c>
      <c r="L684" t="n">
        <v>0</v>
      </c>
      <c r="M684" t="n">
        <v>0</v>
      </c>
      <c r="N684" t="n">
        <v>0</v>
      </c>
      <c r="O684" t="n">
        <v>1</v>
      </c>
      <c r="P684" t="n">
        <v>0</v>
      </c>
      <c r="Q684" t="n">
        <v>1</v>
      </c>
      <c r="R684" s="2" t="inlineStr">
        <is>
          <t>Spillkråka</t>
        </is>
      </c>
      <c r="S684">
        <f>HYPERLINK("https://klasma.github.io/Logging_2062/artfynd/A 33968-2020 artfynd.xlsx", "A 33968-2020")</f>
        <v/>
      </c>
      <c r="T684">
        <f>HYPERLINK("https://klasma.github.io/Logging_2062/kartor/A 33968-2020 karta.png", "A 33968-2020")</f>
        <v/>
      </c>
      <c r="V684">
        <f>HYPERLINK("https://klasma.github.io/Logging_2062/klagomål/A 33968-2020 FSC-klagomål.docx", "A 33968-2020")</f>
        <v/>
      </c>
      <c r="W684">
        <f>HYPERLINK("https://klasma.github.io/Logging_2062/klagomålsmail/A 33968-2020 FSC-klagomål mail.docx", "A 33968-2020")</f>
        <v/>
      </c>
      <c r="X684">
        <f>HYPERLINK("https://klasma.github.io/Logging_2062/tillsyn/A 33968-2020 tillsynsbegäran.docx", "A 33968-2020")</f>
        <v/>
      </c>
      <c r="Y684">
        <f>HYPERLINK("https://klasma.github.io/Logging_2062/tillsynsmail/A 33968-2020 tillsynsbegäran mail.docx", "A 33968-2020")</f>
        <v/>
      </c>
      <c r="Z684">
        <f>HYPERLINK("https://klasma.github.io/Logging_2062/fåglar/A 33968-2020 prioriterade fågelarter.docx", "A 33968-2020")</f>
        <v/>
      </c>
    </row>
    <row r="685" ht="15" customHeight="1">
      <c r="A685" t="inlineStr">
        <is>
          <t>A 34337-2020</t>
        </is>
      </c>
      <c r="B685" s="1" t="n">
        <v>44032</v>
      </c>
      <c r="C685" s="1" t="n">
        <v>45706</v>
      </c>
      <c r="D685" t="inlineStr">
        <is>
          <t>DALARNAS LÄN</t>
        </is>
      </c>
      <c r="E685" t="inlineStr">
        <is>
          <t>SÄTER</t>
        </is>
      </c>
      <c r="F685" t="inlineStr">
        <is>
          <t>Kommuner</t>
        </is>
      </c>
      <c r="G685" t="n">
        <v>20.3</v>
      </c>
      <c r="H685" t="n">
        <v>0</v>
      </c>
      <c r="I685" t="n">
        <v>0</v>
      </c>
      <c r="J685" t="n">
        <v>1</v>
      </c>
      <c r="K685" t="n">
        <v>0</v>
      </c>
      <c r="L685" t="n">
        <v>0</v>
      </c>
      <c r="M685" t="n">
        <v>0</v>
      </c>
      <c r="N685" t="n">
        <v>0</v>
      </c>
      <c r="O685" t="n">
        <v>1</v>
      </c>
      <c r="P685" t="n">
        <v>0</v>
      </c>
      <c r="Q685" t="n">
        <v>1</v>
      </c>
      <c r="R685" s="2" t="inlineStr">
        <is>
          <t>Ullticka</t>
        </is>
      </c>
      <c r="S685">
        <f>HYPERLINK("https://klasma.github.io/Logging_2082/artfynd/A 34337-2020 artfynd.xlsx", "A 34337-2020")</f>
        <v/>
      </c>
      <c r="T685">
        <f>HYPERLINK("https://klasma.github.io/Logging_2082/kartor/A 34337-2020 karta.png", "A 34337-2020")</f>
        <v/>
      </c>
      <c r="V685">
        <f>HYPERLINK("https://klasma.github.io/Logging_2082/klagomål/A 34337-2020 FSC-klagomål.docx", "A 34337-2020")</f>
        <v/>
      </c>
      <c r="W685">
        <f>HYPERLINK("https://klasma.github.io/Logging_2082/klagomålsmail/A 34337-2020 FSC-klagomål mail.docx", "A 34337-2020")</f>
        <v/>
      </c>
      <c r="X685">
        <f>HYPERLINK("https://klasma.github.io/Logging_2082/tillsyn/A 34337-2020 tillsynsbegäran.docx", "A 34337-2020")</f>
        <v/>
      </c>
      <c r="Y685">
        <f>HYPERLINK("https://klasma.github.io/Logging_2082/tillsynsmail/A 34337-2020 tillsynsbegäran mail.docx", "A 34337-2020")</f>
        <v/>
      </c>
    </row>
    <row r="686" ht="15" customHeight="1">
      <c r="A686" t="inlineStr">
        <is>
          <t>A 36306-2020</t>
        </is>
      </c>
      <c r="B686" s="1" t="n">
        <v>44049</v>
      </c>
      <c r="C686" s="1" t="n">
        <v>45706</v>
      </c>
      <c r="D686" t="inlineStr">
        <is>
          <t>DALARNAS LÄN</t>
        </is>
      </c>
      <c r="E686" t="inlineStr">
        <is>
          <t>LEKSAND</t>
        </is>
      </c>
      <c r="G686" t="n">
        <v>0.6</v>
      </c>
      <c r="H686" t="n">
        <v>0</v>
      </c>
      <c r="I686" t="n">
        <v>0</v>
      </c>
      <c r="J686" t="n">
        <v>1</v>
      </c>
      <c r="K686" t="n">
        <v>0</v>
      </c>
      <c r="L686" t="n">
        <v>0</v>
      </c>
      <c r="M686" t="n">
        <v>0</v>
      </c>
      <c r="N686" t="n">
        <v>0</v>
      </c>
      <c r="O686" t="n">
        <v>1</v>
      </c>
      <c r="P686" t="n">
        <v>0</v>
      </c>
      <c r="Q686" t="n">
        <v>1</v>
      </c>
      <c r="R686" s="2" t="inlineStr">
        <is>
          <t>Igelkott</t>
        </is>
      </c>
      <c r="S686">
        <f>HYPERLINK("https://klasma.github.io/Logging_2029/artfynd/A 36306-2020 artfynd.xlsx", "A 36306-2020")</f>
        <v/>
      </c>
      <c r="T686">
        <f>HYPERLINK("https://klasma.github.io/Logging_2029/kartor/A 36306-2020 karta.png", "A 36306-2020")</f>
        <v/>
      </c>
      <c r="V686">
        <f>HYPERLINK("https://klasma.github.io/Logging_2029/klagomål/A 36306-2020 FSC-klagomål.docx", "A 36306-2020")</f>
        <v/>
      </c>
      <c r="W686">
        <f>HYPERLINK("https://klasma.github.io/Logging_2029/klagomålsmail/A 36306-2020 FSC-klagomål mail.docx", "A 36306-2020")</f>
        <v/>
      </c>
      <c r="X686">
        <f>HYPERLINK("https://klasma.github.io/Logging_2029/tillsyn/A 36306-2020 tillsynsbegäran.docx", "A 36306-2020")</f>
        <v/>
      </c>
      <c r="Y686">
        <f>HYPERLINK("https://klasma.github.io/Logging_2029/tillsynsmail/A 36306-2020 tillsynsbegäran mail.docx", "A 36306-2020")</f>
        <v/>
      </c>
    </row>
    <row r="687" ht="15" customHeight="1">
      <c r="A687" t="inlineStr">
        <is>
          <t>A 37713-2020</t>
        </is>
      </c>
      <c r="B687" s="1" t="n">
        <v>44056</v>
      </c>
      <c r="C687" s="1" t="n">
        <v>45706</v>
      </c>
      <c r="D687" t="inlineStr">
        <is>
          <t>DALARNAS LÄN</t>
        </is>
      </c>
      <c r="E687" t="inlineStr">
        <is>
          <t>FALUN</t>
        </is>
      </c>
      <c r="F687" t="inlineStr">
        <is>
          <t>Bergvik skog väst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HYPERLINK("https://klasma.github.io/Logging_2080/artfynd/A 37713-2020 artfynd.xlsx", "A 37713-2020")</f>
        <v/>
      </c>
      <c r="T687">
        <f>HYPERLINK("https://klasma.github.io/Logging_2080/kartor/A 37713-2020 karta.png", "A 37713-2020")</f>
        <v/>
      </c>
      <c r="V687">
        <f>HYPERLINK("https://klasma.github.io/Logging_2080/klagomål/A 37713-2020 FSC-klagomål.docx", "A 37713-2020")</f>
        <v/>
      </c>
      <c r="W687">
        <f>HYPERLINK("https://klasma.github.io/Logging_2080/klagomålsmail/A 37713-2020 FSC-klagomål mail.docx", "A 37713-2020")</f>
        <v/>
      </c>
      <c r="X687">
        <f>HYPERLINK("https://klasma.github.io/Logging_2080/tillsyn/A 37713-2020 tillsynsbegäran.docx", "A 37713-2020")</f>
        <v/>
      </c>
      <c r="Y687">
        <f>HYPERLINK("https://klasma.github.io/Logging_2080/tillsynsmail/A 37713-2020 tillsynsbegäran mail.docx", "A 37713-2020")</f>
        <v/>
      </c>
    </row>
    <row r="688" ht="15" customHeight="1">
      <c r="A688" t="inlineStr">
        <is>
          <t>A 38211-2020</t>
        </is>
      </c>
      <c r="B688" s="1" t="n">
        <v>44060</v>
      </c>
      <c r="C688" s="1" t="n">
        <v>45706</v>
      </c>
      <c r="D688" t="inlineStr">
        <is>
          <t>DALARNAS LÄN</t>
        </is>
      </c>
      <c r="E688" t="inlineStr">
        <is>
          <t>ORSA</t>
        </is>
      </c>
      <c r="G688" t="n">
        <v>1.2</v>
      </c>
      <c r="H688" t="n">
        <v>1</v>
      </c>
      <c r="I688" t="n">
        <v>0</v>
      </c>
      <c r="J688" t="n">
        <v>1</v>
      </c>
      <c r="K688" t="n">
        <v>0</v>
      </c>
      <c r="L688" t="n">
        <v>0</v>
      </c>
      <c r="M688" t="n">
        <v>0</v>
      </c>
      <c r="N688" t="n">
        <v>0</v>
      </c>
      <c r="O688" t="n">
        <v>1</v>
      </c>
      <c r="P688" t="n">
        <v>0</v>
      </c>
      <c r="Q688" t="n">
        <v>1</v>
      </c>
      <c r="R688" s="2" t="inlineStr">
        <is>
          <t>Utter</t>
        </is>
      </c>
      <c r="S688">
        <f>HYPERLINK("https://klasma.github.io/Logging_2034/artfynd/A 38211-2020 artfynd.xlsx", "A 38211-2020")</f>
        <v/>
      </c>
      <c r="T688">
        <f>HYPERLINK("https://klasma.github.io/Logging_2034/kartor/A 38211-2020 karta.png", "A 38211-2020")</f>
        <v/>
      </c>
      <c r="V688">
        <f>HYPERLINK("https://klasma.github.io/Logging_2034/klagomål/A 38211-2020 FSC-klagomål.docx", "A 38211-2020")</f>
        <v/>
      </c>
      <c r="W688">
        <f>HYPERLINK("https://klasma.github.io/Logging_2034/klagomålsmail/A 38211-2020 FSC-klagomål mail.docx", "A 38211-2020")</f>
        <v/>
      </c>
      <c r="X688">
        <f>HYPERLINK("https://klasma.github.io/Logging_2034/tillsyn/A 38211-2020 tillsynsbegäran.docx", "A 38211-2020")</f>
        <v/>
      </c>
      <c r="Y688">
        <f>HYPERLINK("https://klasma.github.io/Logging_2034/tillsynsmail/A 38211-2020 tillsynsbegäran mail.docx", "A 38211-2020")</f>
        <v/>
      </c>
    </row>
    <row r="689" ht="15" customHeight="1">
      <c r="A689" t="inlineStr">
        <is>
          <t>A 38505-2020</t>
        </is>
      </c>
      <c r="B689" s="1" t="n">
        <v>44061</v>
      </c>
      <c r="C689" s="1" t="n">
        <v>45706</v>
      </c>
      <c r="D689" t="inlineStr">
        <is>
          <t>DALARNAS LÄN</t>
        </is>
      </c>
      <c r="E689" t="inlineStr">
        <is>
          <t>ÄLVDALEN</t>
        </is>
      </c>
      <c r="F689" t="inlineStr">
        <is>
          <t>Sveaskog</t>
        </is>
      </c>
      <c r="G689" t="n">
        <v>1.7</v>
      </c>
      <c r="H689" t="n">
        <v>1</v>
      </c>
      <c r="I689" t="n">
        <v>0</v>
      </c>
      <c r="J689" t="n">
        <v>1</v>
      </c>
      <c r="K689" t="n">
        <v>0</v>
      </c>
      <c r="L689" t="n">
        <v>0</v>
      </c>
      <c r="M689" t="n">
        <v>0</v>
      </c>
      <c r="N689" t="n">
        <v>0</v>
      </c>
      <c r="O689" t="n">
        <v>1</v>
      </c>
      <c r="P689" t="n">
        <v>0</v>
      </c>
      <c r="Q689" t="n">
        <v>1</v>
      </c>
      <c r="R689" s="2" t="inlineStr">
        <is>
          <t>Varglav</t>
        </is>
      </c>
      <c r="S689">
        <f>HYPERLINK("https://klasma.github.io/Logging_2039/artfynd/A 38505-2020 artfynd.xlsx", "A 38505-2020")</f>
        <v/>
      </c>
      <c r="T689">
        <f>HYPERLINK("https://klasma.github.io/Logging_2039/kartor/A 38505-2020 karta.png", "A 38505-2020")</f>
        <v/>
      </c>
      <c r="V689">
        <f>HYPERLINK("https://klasma.github.io/Logging_2039/klagomål/A 38505-2020 FSC-klagomål.docx", "A 38505-2020")</f>
        <v/>
      </c>
      <c r="W689">
        <f>HYPERLINK("https://klasma.github.io/Logging_2039/klagomålsmail/A 38505-2020 FSC-klagomål mail.docx", "A 38505-2020")</f>
        <v/>
      </c>
      <c r="X689">
        <f>HYPERLINK("https://klasma.github.io/Logging_2039/tillsyn/A 38505-2020 tillsynsbegäran.docx", "A 38505-2020")</f>
        <v/>
      </c>
      <c r="Y689">
        <f>HYPERLINK("https://klasma.github.io/Logging_2039/tillsynsmail/A 38505-2020 tillsynsbegäran mail.docx", "A 38505-2020")</f>
        <v/>
      </c>
    </row>
    <row r="690" ht="15" customHeight="1">
      <c r="A690" t="inlineStr">
        <is>
          <t>A 45867-2020</t>
        </is>
      </c>
      <c r="B690" s="1" t="n">
        <v>44088</v>
      </c>
      <c r="C690" s="1" t="n">
        <v>45706</v>
      </c>
      <c r="D690" t="inlineStr">
        <is>
          <t>DALARNAS LÄN</t>
        </is>
      </c>
      <c r="E690" t="inlineStr">
        <is>
          <t>RÄTTVIK</t>
        </is>
      </c>
      <c r="G690" t="n">
        <v>1</v>
      </c>
      <c r="H690" t="n">
        <v>0</v>
      </c>
      <c r="I690" t="n">
        <v>1</v>
      </c>
      <c r="J690" t="n">
        <v>0</v>
      </c>
      <c r="K690" t="n">
        <v>0</v>
      </c>
      <c r="L690" t="n">
        <v>0</v>
      </c>
      <c r="M690" t="n">
        <v>0</v>
      </c>
      <c r="N690" t="n">
        <v>0</v>
      </c>
      <c r="O690" t="n">
        <v>0</v>
      </c>
      <c r="P690" t="n">
        <v>0</v>
      </c>
      <c r="Q690" t="n">
        <v>1</v>
      </c>
      <c r="R690" s="2" t="inlineStr">
        <is>
          <t>Svavelriska</t>
        </is>
      </c>
      <c r="S690">
        <f>HYPERLINK("https://klasma.github.io/Logging_2031/artfynd/A 45867-2020 artfynd.xlsx", "A 45867-2020")</f>
        <v/>
      </c>
      <c r="T690">
        <f>HYPERLINK("https://klasma.github.io/Logging_2031/kartor/A 45867-2020 karta.png", "A 45867-2020")</f>
        <v/>
      </c>
      <c r="V690">
        <f>HYPERLINK("https://klasma.github.io/Logging_2031/klagomål/A 45867-2020 FSC-klagomål.docx", "A 45867-2020")</f>
        <v/>
      </c>
      <c r="W690">
        <f>HYPERLINK("https://klasma.github.io/Logging_2031/klagomålsmail/A 45867-2020 FSC-klagomål mail.docx", "A 45867-2020")</f>
        <v/>
      </c>
      <c r="X690">
        <f>HYPERLINK("https://klasma.github.io/Logging_2031/tillsyn/A 45867-2020 tillsynsbegäran.docx", "A 45867-2020")</f>
        <v/>
      </c>
      <c r="Y690">
        <f>HYPERLINK("https://klasma.github.io/Logging_2031/tillsynsmail/A 45867-2020 tillsynsbegäran mail.docx", "A 45867-2020")</f>
        <v/>
      </c>
    </row>
    <row r="691" ht="15" customHeight="1">
      <c r="A691" t="inlineStr">
        <is>
          <t>A 46279-2020</t>
        </is>
      </c>
      <c r="B691" s="1" t="n">
        <v>44092</v>
      </c>
      <c r="C691" s="1" t="n">
        <v>45706</v>
      </c>
      <c r="D691" t="inlineStr">
        <is>
          <t>DALARNAS LÄN</t>
        </is>
      </c>
      <c r="E691" t="inlineStr">
        <is>
          <t>ÄLVDALEN</t>
        </is>
      </c>
      <c r="F691" t="inlineStr">
        <is>
          <t>Sveaskog</t>
        </is>
      </c>
      <c r="G691" t="n">
        <v>0.5</v>
      </c>
      <c r="H691" t="n">
        <v>0</v>
      </c>
      <c r="I691" t="n">
        <v>0</v>
      </c>
      <c r="J691" t="n">
        <v>1</v>
      </c>
      <c r="K691" t="n">
        <v>0</v>
      </c>
      <c r="L691" t="n">
        <v>0</v>
      </c>
      <c r="M691" t="n">
        <v>0</v>
      </c>
      <c r="N691" t="n">
        <v>0</v>
      </c>
      <c r="O691" t="n">
        <v>1</v>
      </c>
      <c r="P691" t="n">
        <v>0</v>
      </c>
      <c r="Q691" t="n">
        <v>1</v>
      </c>
      <c r="R691" s="2" t="inlineStr">
        <is>
          <t>Nordtagging</t>
        </is>
      </c>
      <c r="S691">
        <f>HYPERLINK("https://klasma.github.io/Logging_2039/artfynd/A 46279-2020 artfynd.xlsx", "A 46279-2020")</f>
        <v/>
      </c>
      <c r="T691">
        <f>HYPERLINK("https://klasma.github.io/Logging_2039/kartor/A 46279-2020 karta.png", "A 46279-2020")</f>
        <v/>
      </c>
      <c r="V691">
        <f>HYPERLINK("https://klasma.github.io/Logging_2039/klagomål/A 46279-2020 FSC-klagomål.docx", "A 46279-2020")</f>
        <v/>
      </c>
      <c r="W691">
        <f>HYPERLINK("https://klasma.github.io/Logging_2039/klagomålsmail/A 46279-2020 FSC-klagomål mail.docx", "A 46279-2020")</f>
        <v/>
      </c>
      <c r="X691">
        <f>HYPERLINK("https://klasma.github.io/Logging_2039/tillsyn/A 46279-2020 tillsynsbegäran.docx", "A 46279-2020")</f>
        <v/>
      </c>
      <c r="Y691">
        <f>HYPERLINK("https://klasma.github.io/Logging_2039/tillsynsmail/A 46279-2020 tillsynsbegäran mail.docx", "A 46279-2020")</f>
        <v/>
      </c>
    </row>
    <row r="692" ht="15" customHeight="1">
      <c r="A692" t="inlineStr">
        <is>
          <t>A 47056-2020</t>
        </is>
      </c>
      <c r="B692" s="1" t="n">
        <v>44096</v>
      </c>
      <c r="C692" s="1" t="n">
        <v>45706</v>
      </c>
      <c r="D692" t="inlineStr">
        <is>
          <t>DALARNAS LÄN</t>
        </is>
      </c>
      <c r="E692" t="inlineStr">
        <is>
          <t>VANSBRO</t>
        </is>
      </c>
      <c r="F692" t="inlineStr">
        <is>
          <t>Bergvik skog öst AB</t>
        </is>
      </c>
      <c r="G692" t="n">
        <v>1.8</v>
      </c>
      <c r="H692" t="n">
        <v>0</v>
      </c>
      <c r="I692" t="n">
        <v>0</v>
      </c>
      <c r="J692" t="n">
        <v>1</v>
      </c>
      <c r="K692" t="n">
        <v>0</v>
      </c>
      <c r="L692" t="n">
        <v>0</v>
      </c>
      <c r="M692" t="n">
        <v>0</v>
      </c>
      <c r="N692" t="n">
        <v>0</v>
      </c>
      <c r="O692" t="n">
        <v>1</v>
      </c>
      <c r="P692" t="n">
        <v>0</v>
      </c>
      <c r="Q692" t="n">
        <v>1</v>
      </c>
      <c r="R692" s="2" t="inlineStr">
        <is>
          <t>Granticka</t>
        </is>
      </c>
      <c r="S692">
        <f>HYPERLINK("https://klasma.github.io/Logging_2021/artfynd/A 47056-2020 artfynd.xlsx", "A 47056-2020")</f>
        <v/>
      </c>
      <c r="T692">
        <f>HYPERLINK("https://klasma.github.io/Logging_2021/kartor/A 47056-2020 karta.png", "A 47056-2020")</f>
        <v/>
      </c>
      <c r="V692">
        <f>HYPERLINK("https://klasma.github.io/Logging_2021/klagomål/A 47056-2020 FSC-klagomål.docx", "A 47056-2020")</f>
        <v/>
      </c>
      <c r="W692">
        <f>HYPERLINK("https://klasma.github.io/Logging_2021/klagomålsmail/A 47056-2020 FSC-klagomål mail.docx", "A 47056-2020")</f>
        <v/>
      </c>
      <c r="X692">
        <f>HYPERLINK("https://klasma.github.io/Logging_2021/tillsyn/A 47056-2020 tillsynsbegäran.docx", "A 47056-2020")</f>
        <v/>
      </c>
      <c r="Y692">
        <f>HYPERLINK("https://klasma.github.io/Logging_2021/tillsynsmail/A 47056-2020 tillsynsbegäran mail.docx", "A 47056-2020")</f>
        <v/>
      </c>
    </row>
    <row r="693" ht="15" customHeight="1">
      <c r="A693" t="inlineStr">
        <is>
          <t>A 49767-2020</t>
        </is>
      </c>
      <c r="B693" s="1" t="n">
        <v>44106</v>
      </c>
      <c r="C693" s="1" t="n">
        <v>45706</v>
      </c>
      <c r="D693" t="inlineStr">
        <is>
          <t>DALARNAS LÄN</t>
        </is>
      </c>
      <c r="E693" t="inlineStr">
        <is>
          <t>HEDEMORA</t>
        </is>
      </c>
      <c r="F693" t="inlineStr">
        <is>
          <t>Sveaskog</t>
        </is>
      </c>
      <c r="G693" t="n">
        <v>6.1</v>
      </c>
      <c r="H693" t="n">
        <v>1</v>
      </c>
      <c r="I693" t="n">
        <v>0</v>
      </c>
      <c r="J693" t="n">
        <v>0</v>
      </c>
      <c r="K693" t="n">
        <v>1</v>
      </c>
      <c r="L693" t="n">
        <v>0</v>
      </c>
      <c r="M693" t="n">
        <v>0</v>
      </c>
      <c r="N693" t="n">
        <v>0</v>
      </c>
      <c r="O693" t="n">
        <v>1</v>
      </c>
      <c r="P693" t="n">
        <v>1</v>
      </c>
      <c r="Q693" t="n">
        <v>1</v>
      </c>
      <c r="R693" s="2" t="inlineStr">
        <is>
          <t>Knärot</t>
        </is>
      </c>
      <c r="S693">
        <f>HYPERLINK("https://klasma.github.io/Logging_2083/artfynd/A 49767-2020 artfynd.xlsx", "A 49767-2020")</f>
        <v/>
      </c>
      <c r="T693">
        <f>HYPERLINK("https://klasma.github.io/Logging_2083/kartor/A 49767-2020 karta.png", "A 49767-2020")</f>
        <v/>
      </c>
      <c r="U693">
        <f>HYPERLINK("https://klasma.github.io/Logging_2083/knärot/A 49767-2020 karta knärot.png", "A 49767-2020")</f>
        <v/>
      </c>
      <c r="V693">
        <f>HYPERLINK("https://klasma.github.io/Logging_2083/klagomål/A 49767-2020 FSC-klagomål.docx", "A 49767-2020")</f>
        <v/>
      </c>
      <c r="W693">
        <f>HYPERLINK("https://klasma.github.io/Logging_2083/klagomålsmail/A 49767-2020 FSC-klagomål mail.docx", "A 49767-2020")</f>
        <v/>
      </c>
      <c r="X693">
        <f>HYPERLINK("https://klasma.github.io/Logging_2083/tillsyn/A 49767-2020 tillsynsbegäran.docx", "A 49767-2020")</f>
        <v/>
      </c>
      <c r="Y693">
        <f>HYPERLINK("https://klasma.github.io/Logging_2083/tillsynsmail/A 49767-2020 tillsynsbegäran mail.docx", "A 49767-2020")</f>
        <v/>
      </c>
    </row>
    <row r="694" ht="15" customHeight="1">
      <c r="A694" t="inlineStr">
        <is>
          <t>A 49768-2020</t>
        </is>
      </c>
      <c r="B694" s="1" t="n">
        <v>44106</v>
      </c>
      <c r="C694" s="1" t="n">
        <v>45706</v>
      </c>
      <c r="D694" t="inlineStr">
        <is>
          <t>DALARNAS LÄN</t>
        </is>
      </c>
      <c r="E694" t="inlineStr">
        <is>
          <t>HEDEMORA</t>
        </is>
      </c>
      <c r="F694" t="inlineStr">
        <is>
          <t>Sveaskog</t>
        </is>
      </c>
      <c r="G694" t="n">
        <v>10</v>
      </c>
      <c r="H694" t="n">
        <v>1</v>
      </c>
      <c r="I694" t="n">
        <v>0</v>
      </c>
      <c r="J694" t="n">
        <v>0</v>
      </c>
      <c r="K694" t="n">
        <v>1</v>
      </c>
      <c r="L694" t="n">
        <v>0</v>
      </c>
      <c r="M694" t="n">
        <v>0</v>
      </c>
      <c r="N694" t="n">
        <v>0</v>
      </c>
      <c r="O694" t="n">
        <v>1</v>
      </c>
      <c r="P694" t="n">
        <v>1</v>
      </c>
      <c r="Q694" t="n">
        <v>1</v>
      </c>
      <c r="R694" s="2" t="inlineStr">
        <is>
          <t>Knärot</t>
        </is>
      </c>
      <c r="S694">
        <f>HYPERLINK("https://klasma.github.io/Logging_2083/artfynd/A 49768-2020 artfynd.xlsx", "A 49768-2020")</f>
        <v/>
      </c>
      <c r="T694">
        <f>HYPERLINK("https://klasma.github.io/Logging_2083/kartor/A 49768-2020 karta.png", "A 49768-2020")</f>
        <v/>
      </c>
      <c r="U694">
        <f>HYPERLINK("https://klasma.github.io/Logging_2083/knärot/A 49768-2020 karta knärot.png", "A 49768-2020")</f>
        <v/>
      </c>
      <c r="V694">
        <f>HYPERLINK("https://klasma.github.io/Logging_2083/klagomål/A 49768-2020 FSC-klagomål.docx", "A 49768-2020")</f>
        <v/>
      </c>
      <c r="W694">
        <f>HYPERLINK("https://klasma.github.io/Logging_2083/klagomålsmail/A 49768-2020 FSC-klagomål mail.docx", "A 49768-2020")</f>
        <v/>
      </c>
      <c r="X694">
        <f>HYPERLINK("https://klasma.github.io/Logging_2083/tillsyn/A 49768-2020 tillsynsbegäran.docx", "A 49768-2020")</f>
        <v/>
      </c>
      <c r="Y694">
        <f>HYPERLINK("https://klasma.github.io/Logging_2083/tillsynsmail/A 49768-2020 tillsynsbegäran mail.docx", "A 49768-2020")</f>
        <v/>
      </c>
    </row>
    <row r="695" ht="15" customHeight="1">
      <c r="A695" t="inlineStr">
        <is>
          <t>A 49765-2020</t>
        </is>
      </c>
      <c r="B695" s="1" t="n">
        <v>44106</v>
      </c>
      <c r="C695" s="1" t="n">
        <v>45706</v>
      </c>
      <c r="D695" t="inlineStr">
        <is>
          <t>DALARNAS LÄN</t>
        </is>
      </c>
      <c r="E695" t="inlineStr">
        <is>
          <t>HEDEMORA</t>
        </is>
      </c>
      <c r="F695" t="inlineStr">
        <is>
          <t>Sveaskog</t>
        </is>
      </c>
      <c r="G695" t="n">
        <v>5.8</v>
      </c>
      <c r="H695" t="n">
        <v>1</v>
      </c>
      <c r="I695" t="n">
        <v>0</v>
      </c>
      <c r="J695" t="n">
        <v>0</v>
      </c>
      <c r="K695" t="n">
        <v>1</v>
      </c>
      <c r="L695" t="n">
        <v>0</v>
      </c>
      <c r="M695" t="n">
        <v>0</v>
      </c>
      <c r="N695" t="n">
        <v>0</v>
      </c>
      <c r="O695" t="n">
        <v>1</v>
      </c>
      <c r="P695" t="n">
        <v>1</v>
      </c>
      <c r="Q695" t="n">
        <v>1</v>
      </c>
      <c r="R695" s="2" t="inlineStr">
        <is>
          <t>Knärot</t>
        </is>
      </c>
      <c r="S695">
        <f>HYPERLINK("https://klasma.github.io/Logging_2083/artfynd/A 49765-2020 artfynd.xlsx", "A 49765-2020")</f>
        <v/>
      </c>
      <c r="T695">
        <f>HYPERLINK("https://klasma.github.io/Logging_2083/kartor/A 49765-2020 karta.png", "A 49765-2020")</f>
        <v/>
      </c>
      <c r="U695">
        <f>HYPERLINK("https://klasma.github.io/Logging_2083/knärot/A 49765-2020 karta knärot.png", "A 49765-2020")</f>
        <v/>
      </c>
      <c r="V695">
        <f>HYPERLINK("https://klasma.github.io/Logging_2083/klagomål/A 49765-2020 FSC-klagomål.docx", "A 49765-2020")</f>
        <v/>
      </c>
      <c r="W695">
        <f>HYPERLINK("https://klasma.github.io/Logging_2083/klagomålsmail/A 49765-2020 FSC-klagomål mail.docx", "A 49765-2020")</f>
        <v/>
      </c>
      <c r="X695">
        <f>HYPERLINK("https://klasma.github.io/Logging_2083/tillsyn/A 49765-2020 tillsynsbegäran.docx", "A 49765-2020")</f>
        <v/>
      </c>
      <c r="Y695">
        <f>HYPERLINK("https://klasma.github.io/Logging_2083/tillsynsmail/A 49765-2020 tillsynsbegäran mail.docx", "A 49765-2020")</f>
        <v/>
      </c>
    </row>
    <row r="696" ht="15" customHeight="1">
      <c r="A696" t="inlineStr">
        <is>
          <t>A 50604-2020</t>
        </is>
      </c>
      <c r="B696" s="1" t="n">
        <v>44110</v>
      </c>
      <c r="C696" s="1" t="n">
        <v>45706</v>
      </c>
      <c r="D696" t="inlineStr">
        <is>
          <t>DALARNAS LÄN</t>
        </is>
      </c>
      <c r="E696" t="inlineStr">
        <is>
          <t>RÄTTVIK</t>
        </is>
      </c>
      <c r="G696" t="n">
        <v>1.4</v>
      </c>
      <c r="H696" t="n">
        <v>0</v>
      </c>
      <c r="I696" t="n">
        <v>0</v>
      </c>
      <c r="J696" t="n">
        <v>0</v>
      </c>
      <c r="K696" t="n">
        <v>1</v>
      </c>
      <c r="L696" t="n">
        <v>0</v>
      </c>
      <c r="M696" t="n">
        <v>0</v>
      </c>
      <c r="N696" t="n">
        <v>0</v>
      </c>
      <c r="O696" t="n">
        <v>1</v>
      </c>
      <c r="P696" t="n">
        <v>1</v>
      </c>
      <c r="Q696" t="n">
        <v>1</v>
      </c>
      <c r="R696" s="2" t="inlineStr">
        <is>
          <t>Rynkskinn</t>
        </is>
      </c>
      <c r="S696">
        <f>HYPERLINK("https://klasma.github.io/Logging_2031/artfynd/A 50604-2020 artfynd.xlsx", "A 50604-2020")</f>
        <v/>
      </c>
      <c r="T696">
        <f>HYPERLINK("https://klasma.github.io/Logging_2031/kartor/A 50604-2020 karta.png", "A 50604-2020")</f>
        <v/>
      </c>
      <c r="V696">
        <f>HYPERLINK("https://klasma.github.io/Logging_2031/klagomål/A 50604-2020 FSC-klagomål.docx", "A 50604-2020")</f>
        <v/>
      </c>
      <c r="W696">
        <f>HYPERLINK("https://klasma.github.io/Logging_2031/klagomålsmail/A 50604-2020 FSC-klagomål mail.docx", "A 50604-2020")</f>
        <v/>
      </c>
      <c r="X696">
        <f>HYPERLINK("https://klasma.github.io/Logging_2031/tillsyn/A 50604-2020 tillsynsbegäran.docx", "A 50604-2020")</f>
        <v/>
      </c>
      <c r="Y696">
        <f>HYPERLINK("https://klasma.github.io/Logging_2031/tillsynsmail/A 50604-2020 tillsynsbegäran mail.docx", "A 50604-2020")</f>
        <v/>
      </c>
    </row>
    <row r="697" ht="15" customHeight="1">
      <c r="A697" t="inlineStr">
        <is>
          <t>A 51342-2020</t>
        </is>
      </c>
      <c r="B697" s="1" t="n">
        <v>44112</v>
      </c>
      <c r="C697" s="1" t="n">
        <v>45706</v>
      </c>
      <c r="D697" t="inlineStr">
        <is>
          <t>DALARNAS LÄN</t>
        </is>
      </c>
      <c r="E697" t="inlineStr">
        <is>
          <t>FALUN</t>
        </is>
      </c>
      <c r="F697" t="inlineStr">
        <is>
          <t>Bergvik skog väst AB</t>
        </is>
      </c>
      <c r="G697" t="n">
        <v>3.8</v>
      </c>
      <c r="H697" t="n">
        <v>1</v>
      </c>
      <c r="I697" t="n">
        <v>0</v>
      </c>
      <c r="J697" t="n">
        <v>0</v>
      </c>
      <c r="K697" t="n">
        <v>1</v>
      </c>
      <c r="L697" t="n">
        <v>0</v>
      </c>
      <c r="M697" t="n">
        <v>0</v>
      </c>
      <c r="N697" t="n">
        <v>0</v>
      </c>
      <c r="O697" t="n">
        <v>1</v>
      </c>
      <c r="P697" t="n">
        <v>1</v>
      </c>
      <c r="Q697" t="n">
        <v>1</v>
      </c>
      <c r="R697" s="2" t="inlineStr">
        <is>
          <t>Knärot</t>
        </is>
      </c>
      <c r="S697">
        <f>HYPERLINK("https://klasma.github.io/Logging_2080/artfynd/A 51342-2020 artfynd.xlsx", "A 51342-2020")</f>
        <v/>
      </c>
      <c r="T697">
        <f>HYPERLINK("https://klasma.github.io/Logging_2080/kartor/A 51342-2020 karta.png", "A 51342-2020")</f>
        <v/>
      </c>
      <c r="U697">
        <f>HYPERLINK("https://klasma.github.io/Logging_2080/knärot/A 51342-2020 karta knärot.png", "A 51342-2020")</f>
        <v/>
      </c>
      <c r="V697">
        <f>HYPERLINK("https://klasma.github.io/Logging_2080/klagomål/A 51342-2020 FSC-klagomål.docx", "A 51342-2020")</f>
        <v/>
      </c>
      <c r="W697">
        <f>HYPERLINK("https://klasma.github.io/Logging_2080/klagomålsmail/A 51342-2020 FSC-klagomål mail.docx", "A 51342-2020")</f>
        <v/>
      </c>
      <c r="X697">
        <f>HYPERLINK("https://klasma.github.io/Logging_2080/tillsyn/A 51342-2020 tillsynsbegäran.docx", "A 51342-2020")</f>
        <v/>
      </c>
      <c r="Y697">
        <f>HYPERLINK("https://klasma.github.io/Logging_2080/tillsynsmail/A 51342-2020 tillsynsbegäran mail.docx", "A 51342-2020")</f>
        <v/>
      </c>
    </row>
    <row r="698" ht="15" customHeight="1">
      <c r="A698" t="inlineStr">
        <is>
          <t>A 54641-2020</t>
        </is>
      </c>
      <c r="B698" s="1" t="n">
        <v>44127</v>
      </c>
      <c r="C698" s="1" t="n">
        <v>45706</v>
      </c>
      <c r="D698" t="inlineStr">
        <is>
          <t>DALARNAS LÄN</t>
        </is>
      </c>
      <c r="E698" t="inlineStr">
        <is>
          <t>LUDVIKA</t>
        </is>
      </c>
      <c r="F698" t="inlineStr">
        <is>
          <t>Övriga Aktiebolag</t>
        </is>
      </c>
      <c r="G698" t="n">
        <v>38.7</v>
      </c>
      <c r="H698" t="n">
        <v>0</v>
      </c>
      <c r="I698" t="n">
        <v>1</v>
      </c>
      <c r="J698" t="n">
        <v>0</v>
      </c>
      <c r="K698" t="n">
        <v>0</v>
      </c>
      <c r="L698" t="n">
        <v>0</v>
      </c>
      <c r="M698" t="n">
        <v>0</v>
      </c>
      <c r="N698" t="n">
        <v>0</v>
      </c>
      <c r="O698" t="n">
        <v>0</v>
      </c>
      <c r="P698" t="n">
        <v>0</v>
      </c>
      <c r="Q698" t="n">
        <v>1</v>
      </c>
      <c r="R698" s="2" t="inlineStr">
        <is>
          <t>Bronshjon</t>
        </is>
      </c>
      <c r="S698">
        <f>HYPERLINK("https://klasma.github.io/Logging_2085/artfynd/A 54641-2020 artfynd.xlsx", "A 54641-2020")</f>
        <v/>
      </c>
      <c r="T698">
        <f>HYPERLINK("https://klasma.github.io/Logging_2085/kartor/A 54641-2020 karta.png", "A 54641-2020")</f>
        <v/>
      </c>
      <c r="V698">
        <f>HYPERLINK("https://klasma.github.io/Logging_2085/klagomål/A 54641-2020 FSC-klagomål.docx", "A 54641-2020")</f>
        <v/>
      </c>
      <c r="W698">
        <f>HYPERLINK("https://klasma.github.io/Logging_2085/klagomålsmail/A 54641-2020 FSC-klagomål mail.docx", "A 54641-2020")</f>
        <v/>
      </c>
      <c r="X698">
        <f>HYPERLINK("https://klasma.github.io/Logging_2085/tillsyn/A 54641-2020 tillsynsbegäran.docx", "A 54641-2020")</f>
        <v/>
      </c>
      <c r="Y698">
        <f>HYPERLINK("https://klasma.github.io/Logging_2085/tillsynsmail/A 54641-2020 tillsynsbegäran mail.docx", "A 54641-2020")</f>
        <v/>
      </c>
    </row>
    <row r="699" ht="15" customHeight="1">
      <c r="A699" t="inlineStr">
        <is>
          <t>A 64068-2020</t>
        </is>
      </c>
      <c r="B699" s="1" t="n">
        <v>44167</v>
      </c>
      <c r="C699" s="1" t="n">
        <v>45706</v>
      </c>
      <c r="D699" t="inlineStr">
        <is>
          <t>DALARNAS LÄN</t>
        </is>
      </c>
      <c r="E699" t="inlineStr">
        <is>
          <t>LUDVIKA</t>
        </is>
      </c>
      <c r="F699" t="inlineStr">
        <is>
          <t>Kommuner</t>
        </is>
      </c>
      <c r="G699" t="n">
        <v>4.5</v>
      </c>
      <c r="H699" t="n">
        <v>0</v>
      </c>
      <c r="I699" t="n">
        <v>0</v>
      </c>
      <c r="J699" t="n">
        <v>1</v>
      </c>
      <c r="K699" t="n">
        <v>0</v>
      </c>
      <c r="L699" t="n">
        <v>0</v>
      </c>
      <c r="M699" t="n">
        <v>0</v>
      </c>
      <c r="N699" t="n">
        <v>0</v>
      </c>
      <c r="O699" t="n">
        <v>1</v>
      </c>
      <c r="P699" t="n">
        <v>0</v>
      </c>
      <c r="Q699" t="n">
        <v>1</v>
      </c>
      <c r="R699" s="2" t="inlineStr">
        <is>
          <t>Garnlav</t>
        </is>
      </c>
      <c r="S699">
        <f>HYPERLINK("https://klasma.github.io/Logging_2085/artfynd/A 64068-2020 artfynd.xlsx", "A 64068-2020")</f>
        <v/>
      </c>
      <c r="T699">
        <f>HYPERLINK("https://klasma.github.io/Logging_2085/kartor/A 64068-2020 karta.png", "A 64068-2020")</f>
        <v/>
      </c>
      <c r="U699">
        <f>HYPERLINK("https://klasma.github.io/Logging_2085/knärot/A 64068-2020 karta knärot.png", "A 64068-2020")</f>
        <v/>
      </c>
      <c r="V699">
        <f>HYPERLINK("https://klasma.github.io/Logging_2085/klagomål/A 64068-2020 FSC-klagomål.docx", "A 64068-2020")</f>
        <v/>
      </c>
      <c r="W699">
        <f>HYPERLINK("https://klasma.github.io/Logging_2085/klagomålsmail/A 64068-2020 FSC-klagomål mail.docx", "A 64068-2020")</f>
        <v/>
      </c>
      <c r="X699">
        <f>HYPERLINK("https://klasma.github.io/Logging_2085/tillsyn/A 64068-2020 tillsynsbegäran.docx", "A 64068-2020")</f>
        <v/>
      </c>
      <c r="Y699">
        <f>HYPERLINK("https://klasma.github.io/Logging_2085/tillsynsmail/A 64068-2020 tillsynsbegäran mail.docx", "A 64068-2020")</f>
        <v/>
      </c>
    </row>
    <row r="700" ht="15" customHeight="1">
      <c r="A700" t="inlineStr">
        <is>
          <t>A 65998-2020</t>
        </is>
      </c>
      <c r="B700" s="1" t="n">
        <v>44175</v>
      </c>
      <c r="C700" s="1" t="n">
        <v>45706</v>
      </c>
      <c r="D700" t="inlineStr">
        <is>
          <t>DALARNAS LÄN</t>
        </is>
      </c>
      <c r="E700" t="inlineStr">
        <is>
          <t>SÄTER</t>
        </is>
      </c>
      <c r="F700" t="inlineStr">
        <is>
          <t>Bergvik skog väst AB</t>
        </is>
      </c>
      <c r="G700" t="n">
        <v>8.1</v>
      </c>
      <c r="H700" t="n">
        <v>0</v>
      </c>
      <c r="I700" t="n">
        <v>0</v>
      </c>
      <c r="J700" t="n">
        <v>1</v>
      </c>
      <c r="K700" t="n">
        <v>0</v>
      </c>
      <c r="L700" t="n">
        <v>0</v>
      </c>
      <c r="M700" t="n">
        <v>0</v>
      </c>
      <c r="N700" t="n">
        <v>0</v>
      </c>
      <c r="O700" t="n">
        <v>1</v>
      </c>
      <c r="P700" t="n">
        <v>0</v>
      </c>
      <c r="Q700" t="n">
        <v>1</v>
      </c>
      <c r="R700" s="2" t="inlineStr">
        <is>
          <t>Kandelabersvamp</t>
        </is>
      </c>
      <c r="S700">
        <f>HYPERLINK("https://klasma.github.io/Logging_2082/artfynd/A 65998-2020 artfynd.xlsx", "A 65998-2020")</f>
        <v/>
      </c>
      <c r="T700">
        <f>HYPERLINK("https://klasma.github.io/Logging_2082/kartor/A 65998-2020 karta.png", "A 65998-2020")</f>
        <v/>
      </c>
      <c r="V700">
        <f>HYPERLINK("https://klasma.github.io/Logging_2082/klagomål/A 65998-2020 FSC-klagomål.docx", "A 65998-2020")</f>
        <v/>
      </c>
      <c r="W700">
        <f>HYPERLINK("https://klasma.github.io/Logging_2082/klagomålsmail/A 65998-2020 FSC-klagomål mail.docx", "A 65998-2020")</f>
        <v/>
      </c>
      <c r="X700">
        <f>HYPERLINK("https://klasma.github.io/Logging_2082/tillsyn/A 65998-2020 tillsynsbegäran.docx", "A 65998-2020")</f>
        <v/>
      </c>
      <c r="Y700">
        <f>HYPERLINK("https://klasma.github.io/Logging_2082/tillsynsmail/A 65998-2020 tillsynsbegäran mail.docx", "A 65998-2020")</f>
        <v/>
      </c>
    </row>
    <row r="701" ht="15" customHeight="1">
      <c r="A701" t="inlineStr">
        <is>
          <t>A 69166-2020</t>
        </is>
      </c>
      <c r="B701" s="1" t="n">
        <v>44188</v>
      </c>
      <c r="C701" s="1" t="n">
        <v>45706</v>
      </c>
      <c r="D701" t="inlineStr">
        <is>
          <t>DALARNAS LÄN</t>
        </is>
      </c>
      <c r="E701" t="inlineStr">
        <is>
          <t>LUDVIKA</t>
        </is>
      </c>
      <c r="F701" t="inlineStr">
        <is>
          <t>Kommuner</t>
        </is>
      </c>
      <c r="G701" t="n">
        <v>4.9</v>
      </c>
      <c r="H701" t="n">
        <v>1</v>
      </c>
      <c r="I701" t="n">
        <v>0</v>
      </c>
      <c r="J701" t="n">
        <v>0</v>
      </c>
      <c r="K701" t="n">
        <v>0</v>
      </c>
      <c r="L701" t="n">
        <v>0</v>
      </c>
      <c r="M701" t="n">
        <v>0</v>
      </c>
      <c r="N701" t="n">
        <v>0</v>
      </c>
      <c r="O701" t="n">
        <v>0</v>
      </c>
      <c r="P701" t="n">
        <v>0</v>
      </c>
      <c r="Q701" t="n">
        <v>1</v>
      </c>
      <c r="R701" s="2" t="inlineStr">
        <is>
          <t>Fläcknycklar</t>
        </is>
      </c>
      <c r="S701">
        <f>HYPERLINK("https://klasma.github.io/Logging_2085/artfynd/A 69166-2020 artfynd.xlsx", "A 69166-2020")</f>
        <v/>
      </c>
      <c r="T701">
        <f>HYPERLINK("https://klasma.github.io/Logging_2085/kartor/A 69166-2020 karta.png", "A 69166-2020")</f>
        <v/>
      </c>
      <c r="V701">
        <f>HYPERLINK("https://klasma.github.io/Logging_2085/klagomål/A 69166-2020 FSC-klagomål.docx", "A 69166-2020")</f>
        <v/>
      </c>
      <c r="W701">
        <f>HYPERLINK("https://klasma.github.io/Logging_2085/klagomålsmail/A 69166-2020 FSC-klagomål mail.docx", "A 69166-2020")</f>
        <v/>
      </c>
      <c r="X701">
        <f>HYPERLINK("https://klasma.github.io/Logging_2085/tillsyn/A 69166-2020 tillsynsbegäran.docx", "A 69166-2020")</f>
        <v/>
      </c>
      <c r="Y701">
        <f>HYPERLINK("https://klasma.github.io/Logging_2085/tillsynsmail/A 69166-2020 tillsynsbegäran mail.docx", "A 69166-2020")</f>
        <v/>
      </c>
    </row>
    <row r="702" ht="15" customHeight="1">
      <c r="A702" t="inlineStr">
        <is>
          <t>A 9959-2021</t>
        </is>
      </c>
      <c r="B702" s="1" t="n">
        <v>44253</v>
      </c>
      <c r="C702" s="1" t="n">
        <v>45706</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9959-2021 artfynd.xlsx", "A 9959-2021")</f>
        <v/>
      </c>
      <c r="T702">
        <f>HYPERLINK("https://klasma.github.io/Logging_2083/kartor/A 9959-2021 karta.png", "A 9959-2021")</f>
        <v/>
      </c>
      <c r="U702">
        <f>HYPERLINK("https://klasma.github.io/Logging_2083/knärot/A 9959-2021 karta knärot.png", "A 9959-2021")</f>
        <v/>
      </c>
      <c r="V702">
        <f>HYPERLINK("https://klasma.github.io/Logging_2083/klagomål/A 9959-2021 FSC-klagomål.docx", "A 9959-2021")</f>
        <v/>
      </c>
      <c r="W702">
        <f>HYPERLINK("https://klasma.github.io/Logging_2083/klagomålsmail/A 9959-2021 FSC-klagomål mail.docx", "A 9959-2021")</f>
        <v/>
      </c>
      <c r="X702">
        <f>HYPERLINK("https://klasma.github.io/Logging_2083/tillsyn/A 9959-2021 tillsynsbegäran.docx", "A 9959-2021")</f>
        <v/>
      </c>
      <c r="Y702">
        <f>HYPERLINK("https://klasma.github.io/Logging_2083/tillsynsmail/A 9959-2021 tillsynsbegäran mail.docx", "A 9959-2021")</f>
        <v/>
      </c>
    </row>
    <row r="703" ht="15" customHeight="1">
      <c r="A703" t="inlineStr">
        <is>
          <t>A 10384-2021</t>
        </is>
      </c>
      <c r="B703" s="1" t="n">
        <v>44257</v>
      </c>
      <c r="C703" s="1" t="n">
        <v>45706</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11061-2021</t>
        </is>
      </c>
      <c r="B704" s="1" t="n">
        <v>44260</v>
      </c>
      <c r="C704" s="1" t="n">
        <v>45706</v>
      </c>
      <c r="D704" t="inlineStr">
        <is>
          <t>DALARNAS LÄN</t>
        </is>
      </c>
      <c r="E704" t="inlineStr">
        <is>
          <t>ÄLVDALEN</t>
        </is>
      </c>
      <c r="F704" t="inlineStr">
        <is>
          <t>Övriga statliga verk och myndigheter</t>
        </is>
      </c>
      <c r="G704" t="n">
        <v>43.7</v>
      </c>
      <c r="H704" t="n">
        <v>1</v>
      </c>
      <c r="I704" t="n">
        <v>0</v>
      </c>
      <c r="J704" t="n">
        <v>0</v>
      </c>
      <c r="K704" t="n">
        <v>0</v>
      </c>
      <c r="L704" t="n">
        <v>0</v>
      </c>
      <c r="M704" t="n">
        <v>0</v>
      </c>
      <c r="N704" t="n">
        <v>0</v>
      </c>
      <c r="O704" t="n">
        <v>0</v>
      </c>
      <c r="P704" t="n">
        <v>0</v>
      </c>
      <c r="Q704" t="n">
        <v>1</v>
      </c>
      <c r="R704" s="2" t="inlineStr">
        <is>
          <t>Större vattensalamander</t>
        </is>
      </c>
      <c r="S704">
        <f>HYPERLINK("https://klasma.github.io/Logging_2039/artfynd/A 11061-2021 artfynd.xlsx", "A 11061-2021")</f>
        <v/>
      </c>
      <c r="T704">
        <f>HYPERLINK("https://klasma.github.io/Logging_2039/kartor/A 11061-2021 karta.png", "A 11061-2021")</f>
        <v/>
      </c>
      <c r="V704">
        <f>HYPERLINK("https://klasma.github.io/Logging_2039/klagomål/A 11061-2021 FSC-klagomål.docx", "A 11061-2021")</f>
        <v/>
      </c>
      <c r="W704">
        <f>HYPERLINK("https://klasma.github.io/Logging_2039/klagomålsmail/A 11061-2021 FSC-klagomål mail.docx", "A 11061-2021")</f>
        <v/>
      </c>
      <c r="X704">
        <f>HYPERLINK("https://klasma.github.io/Logging_2039/tillsyn/A 11061-2021 tillsynsbegäran.docx", "A 11061-2021")</f>
        <v/>
      </c>
      <c r="Y704">
        <f>HYPERLINK("https://klasma.github.io/Logging_2039/tillsynsmail/A 11061-2021 tillsynsbegäran mail.docx", "A 11061-2021")</f>
        <v/>
      </c>
    </row>
    <row r="705" ht="15" customHeight="1">
      <c r="A705" t="inlineStr">
        <is>
          <t>A 12873-2021</t>
        </is>
      </c>
      <c r="B705" s="1" t="n">
        <v>44270</v>
      </c>
      <c r="C705" s="1" t="n">
        <v>45706</v>
      </c>
      <c r="D705" t="inlineStr">
        <is>
          <t>DALARNAS LÄN</t>
        </is>
      </c>
      <c r="E705" t="inlineStr">
        <is>
          <t>GAGNEF</t>
        </is>
      </c>
      <c r="F705" t="inlineStr">
        <is>
          <t>Kommuner</t>
        </is>
      </c>
      <c r="G705" t="n">
        <v>0.8</v>
      </c>
      <c r="H705" t="n">
        <v>1</v>
      </c>
      <c r="I705" t="n">
        <v>0</v>
      </c>
      <c r="J705" t="n">
        <v>1</v>
      </c>
      <c r="K705" t="n">
        <v>0</v>
      </c>
      <c r="L705" t="n">
        <v>0</v>
      </c>
      <c r="M705" t="n">
        <v>0</v>
      </c>
      <c r="N705" t="n">
        <v>0</v>
      </c>
      <c r="O705" t="n">
        <v>1</v>
      </c>
      <c r="P705" t="n">
        <v>0</v>
      </c>
      <c r="Q705" t="n">
        <v>1</v>
      </c>
      <c r="R705" s="2" t="inlineStr">
        <is>
          <t>Mindre hackspett</t>
        </is>
      </c>
      <c r="S705">
        <f>HYPERLINK("https://klasma.github.io/Logging_2026/artfynd/A 12873-2021 artfynd.xlsx", "A 12873-2021")</f>
        <v/>
      </c>
      <c r="T705">
        <f>HYPERLINK("https://klasma.github.io/Logging_2026/kartor/A 12873-2021 karta.png", "A 12873-2021")</f>
        <v/>
      </c>
      <c r="V705">
        <f>HYPERLINK("https://klasma.github.io/Logging_2026/klagomål/A 12873-2021 FSC-klagomål.docx", "A 12873-2021")</f>
        <v/>
      </c>
      <c r="W705">
        <f>HYPERLINK("https://klasma.github.io/Logging_2026/klagomålsmail/A 12873-2021 FSC-klagomål mail.docx", "A 12873-2021")</f>
        <v/>
      </c>
      <c r="X705">
        <f>HYPERLINK("https://klasma.github.io/Logging_2026/tillsyn/A 12873-2021 tillsynsbegäran.docx", "A 12873-2021")</f>
        <v/>
      </c>
      <c r="Y705">
        <f>HYPERLINK("https://klasma.github.io/Logging_2026/tillsynsmail/A 12873-2021 tillsynsbegäran mail.docx", "A 12873-2021")</f>
        <v/>
      </c>
      <c r="Z705">
        <f>HYPERLINK("https://klasma.github.io/Logging_2026/fåglar/A 12873-2021 prioriterade fågelarter.docx", "A 12873-2021")</f>
        <v/>
      </c>
    </row>
    <row r="706" ht="15" customHeight="1">
      <c r="A706" t="inlineStr">
        <is>
          <t>A 16638-2021</t>
        </is>
      </c>
      <c r="B706" s="1" t="n">
        <v>44284</v>
      </c>
      <c r="C706" s="1" t="n">
        <v>45706</v>
      </c>
      <c r="D706" t="inlineStr">
        <is>
          <t>DALARNAS LÄN</t>
        </is>
      </c>
      <c r="E706" t="inlineStr">
        <is>
          <t>ÄLVDALEN</t>
        </is>
      </c>
      <c r="G706" t="n">
        <v>11.5</v>
      </c>
      <c r="H706" t="n">
        <v>0</v>
      </c>
      <c r="I706" t="n">
        <v>0</v>
      </c>
      <c r="J706" t="n">
        <v>0</v>
      </c>
      <c r="K706" t="n">
        <v>1</v>
      </c>
      <c r="L706" t="n">
        <v>0</v>
      </c>
      <c r="M706" t="n">
        <v>0</v>
      </c>
      <c r="N706" t="n">
        <v>0</v>
      </c>
      <c r="O706" t="n">
        <v>1</v>
      </c>
      <c r="P706" t="n">
        <v>1</v>
      </c>
      <c r="Q706" t="n">
        <v>1</v>
      </c>
      <c r="R706" s="2" t="inlineStr">
        <is>
          <t>Sprickporing</t>
        </is>
      </c>
      <c r="S706">
        <f>HYPERLINK("https://klasma.github.io/Logging_2039/artfynd/A 16638-2021 artfynd.xlsx", "A 16638-2021")</f>
        <v/>
      </c>
      <c r="T706">
        <f>HYPERLINK("https://klasma.github.io/Logging_2039/kartor/A 16638-2021 karta.png", "A 16638-2021")</f>
        <v/>
      </c>
      <c r="V706">
        <f>HYPERLINK("https://klasma.github.io/Logging_2039/klagomål/A 16638-2021 FSC-klagomål.docx", "A 16638-2021")</f>
        <v/>
      </c>
      <c r="W706">
        <f>HYPERLINK("https://klasma.github.io/Logging_2039/klagomålsmail/A 16638-2021 FSC-klagomål mail.docx", "A 16638-2021")</f>
        <v/>
      </c>
      <c r="X706">
        <f>HYPERLINK("https://klasma.github.io/Logging_2039/tillsyn/A 16638-2021 tillsynsbegäran.docx", "A 16638-2021")</f>
        <v/>
      </c>
      <c r="Y706">
        <f>HYPERLINK("https://klasma.github.io/Logging_2039/tillsynsmail/A 16638-2021 tillsynsbegäran mail.docx", "A 16638-2021")</f>
        <v/>
      </c>
    </row>
    <row r="707" ht="15" customHeight="1">
      <c r="A707" t="inlineStr">
        <is>
          <t>A 16035-2021</t>
        </is>
      </c>
      <c r="B707" s="1" t="n">
        <v>44287</v>
      </c>
      <c r="C707" s="1" t="n">
        <v>45706</v>
      </c>
      <c r="D707" t="inlineStr">
        <is>
          <t>DALARNAS LÄN</t>
        </is>
      </c>
      <c r="E707" t="inlineStr">
        <is>
          <t>ÄLVDALEN</t>
        </is>
      </c>
      <c r="F707" t="inlineStr">
        <is>
          <t>Övriga statliga verk och myndigheter</t>
        </is>
      </c>
      <c r="G707" t="n">
        <v>2.2</v>
      </c>
      <c r="H707" t="n">
        <v>0</v>
      </c>
      <c r="I707" t="n">
        <v>0</v>
      </c>
      <c r="J707" t="n">
        <v>1</v>
      </c>
      <c r="K707" t="n">
        <v>0</v>
      </c>
      <c r="L707" t="n">
        <v>0</v>
      </c>
      <c r="M707" t="n">
        <v>0</v>
      </c>
      <c r="N707" t="n">
        <v>0</v>
      </c>
      <c r="O707" t="n">
        <v>1</v>
      </c>
      <c r="P707" t="n">
        <v>0</v>
      </c>
      <c r="Q707" t="n">
        <v>1</v>
      </c>
      <c r="R707" s="2" t="inlineStr">
        <is>
          <t>Gultoppig fingersvamp</t>
        </is>
      </c>
      <c r="S707">
        <f>HYPERLINK("https://klasma.github.io/Logging_2039/artfynd/A 16035-2021 artfynd.xlsx", "A 16035-2021")</f>
        <v/>
      </c>
      <c r="T707">
        <f>HYPERLINK("https://klasma.github.io/Logging_2039/kartor/A 16035-2021 karta.png", "A 16035-2021")</f>
        <v/>
      </c>
      <c r="V707">
        <f>HYPERLINK("https://klasma.github.io/Logging_2039/klagomål/A 16035-2021 FSC-klagomål.docx", "A 16035-2021")</f>
        <v/>
      </c>
      <c r="W707">
        <f>HYPERLINK("https://klasma.github.io/Logging_2039/klagomålsmail/A 16035-2021 FSC-klagomål mail.docx", "A 16035-2021")</f>
        <v/>
      </c>
      <c r="X707">
        <f>HYPERLINK("https://klasma.github.io/Logging_2039/tillsyn/A 16035-2021 tillsynsbegäran.docx", "A 16035-2021")</f>
        <v/>
      </c>
      <c r="Y707">
        <f>HYPERLINK("https://klasma.github.io/Logging_2039/tillsynsmail/A 16035-2021 tillsynsbegäran mail.docx", "A 16035-2021")</f>
        <v/>
      </c>
    </row>
    <row r="708" ht="15" customHeight="1">
      <c r="A708" t="inlineStr">
        <is>
          <t>A 18834-2021</t>
        </is>
      </c>
      <c r="B708" s="1" t="n">
        <v>44307</v>
      </c>
      <c r="C708" s="1" t="n">
        <v>45706</v>
      </c>
      <c r="D708" t="inlineStr">
        <is>
          <t>DALARNAS LÄN</t>
        </is>
      </c>
      <c r="E708" t="inlineStr">
        <is>
          <t>VANSBRO</t>
        </is>
      </c>
      <c r="G708" t="n">
        <v>13.9</v>
      </c>
      <c r="H708" t="n">
        <v>0</v>
      </c>
      <c r="I708" t="n">
        <v>1</v>
      </c>
      <c r="J708" t="n">
        <v>0</v>
      </c>
      <c r="K708" t="n">
        <v>0</v>
      </c>
      <c r="L708" t="n">
        <v>0</v>
      </c>
      <c r="M708" t="n">
        <v>0</v>
      </c>
      <c r="N708" t="n">
        <v>0</v>
      </c>
      <c r="O708" t="n">
        <v>0</v>
      </c>
      <c r="P708" t="n">
        <v>0</v>
      </c>
      <c r="Q708" t="n">
        <v>1</v>
      </c>
      <c r="R708" s="2" t="inlineStr">
        <is>
          <t>Dropptaggsvamp</t>
        </is>
      </c>
      <c r="S708">
        <f>HYPERLINK("https://klasma.github.io/Logging_2021/artfynd/A 18834-2021 artfynd.xlsx", "A 18834-2021")</f>
        <v/>
      </c>
      <c r="T708">
        <f>HYPERLINK("https://klasma.github.io/Logging_2021/kartor/A 18834-2021 karta.png", "A 18834-2021")</f>
        <v/>
      </c>
      <c r="V708">
        <f>HYPERLINK("https://klasma.github.io/Logging_2021/klagomål/A 18834-2021 FSC-klagomål.docx", "A 18834-2021")</f>
        <v/>
      </c>
      <c r="W708">
        <f>HYPERLINK("https://klasma.github.io/Logging_2021/klagomålsmail/A 18834-2021 FSC-klagomål mail.docx", "A 18834-2021")</f>
        <v/>
      </c>
      <c r="X708">
        <f>HYPERLINK("https://klasma.github.io/Logging_2021/tillsyn/A 18834-2021 tillsynsbegäran.docx", "A 18834-2021")</f>
        <v/>
      </c>
      <c r="Y708">
        <f>HYPERLINK("https://klasma.github.io/Logging_2021/tillsynsmail/A 18834-2021 tillsynsbegäran mail.docx", "A 18834-2021")</f>
        <v/>
      </c>
    </row>
    <row r="709" ht="15" customHeight="1">
      <c r="A709" t="inlineStr">
        <is>
          <t>A 18833-2021</t>
        </is>
      </c>
      <c r="B709" s="1" t="n">
        <v>44307</v>
      </c>
      <c r="C709" s="1" t="n">
        <v>45706</v>
      </c>
      <c r="D709" t="inlineStr">
        <is>
          <t>DALARNAS LÄN</t>
        </is>
      </c>
      <c r="E709" t="inlineStr">
        <is>
          <t>VANSBRO</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HYPERLINK("https://klasma.github.io/Logging_2021/artfynd/A 18833-2021 artfynd.xlsx", "A 18833-2021")</f>
        <v/>
      </c>
      <c r="T709">
        <f>HYPERLINK("https://klasma.github.io/Logging_2021/kartor/A 18833-2021 karta.png", "A 18833-2021")</f>
        <v/>
      </c>
      <c r="U709">
        <f>HYPERLINK("https://klasma.github.io/Logging_2021/knärot/A 18833-2021 karta knärot.png", "A 18833-2021")</f>
        <v/>
      </c>
      <c r="V709">
        <f>HYPERLINK("https://klasma.github.io/Logging_2021/klagomål/A 18833-2021 FSC-klagomål.docx", "A 18833-2021")</f>
        <v/>
      </c>
      <c r="W709">
        <f>HYPERLINK("https://klasma.github.io/Logging_2021/klagomålsmail/A 18833-2021 FSC-klagomål mail.docx", "A 18833-2021")</f>
        <v/>
      </c>
      <c r="X709">
        <f>HYPERLINK("https://klasma.github.io/Logging_2021/tillsyn/A 18833-2021 tillsynsbegäran.docx", "A 18833-2021")</f>
        <v/>
      </c>
      <c r="Y709">
        <f>HYPERLINK("https://klasma.github.io/Logging_2021/tillsynsmail/A 18833-2021 tillsynsbegäran mail.docx", "A 18833-2021")</f>
        <v/>
      </c>
    </row>
    <row r="710" ht="15" customHeight="1">
      <c r="A710" t="inlineStr">
        <is>
          <t>A 20921-2021</t>
        </is>
      </c>
      <c r="B710" s="1" t="n">
        <v>44319</v>
      </c>
      <c r="C710" s="1" t="n">
        <v>45706</v>
      </c>
      <c r="D710" t="inlineStr">
        <is>
          <t>DALARNAS LÄN</t>
        </is>
      </c>
      <c r="E710" t="inlineStr">
        <is>
          <t>MALUNG-SÄLEN</t>
        </is>
      </c>
      <c r="G710" t="n">
        <v>1.8</v>
      </c>
      <c r="H710" t="n">
        <v>0</v>
      </c>
      <c r="I710" t="n">
        <v>0</v>
      </c>
      <c r="J710" t="n">
        <v>1</v>
      </c>
      <c r="K710" t="n">
        <v>0</v>
      </c>
      <c r="L710" t="n">
        <v>0</v>
      </c>
      <c r="M710" t="n">
        <v>0</v>
      </c>
      <c r="N710" t="n">
        <v>0</v>
      </c>
      <c r="O710" t="n">
        <v>1</v>
      </c>
      <c r="P710" t="n">
        <v>0</v>
      </c>
      <c r="Q710" t="n">
        <v>1</v>
      </c>
      <c r="R710" s="2" t="inlineStr">
        <is>
          <t>Garnlav</t>
        </is>
      </c>
      <c r="S710">
        <f>HYPERLINK("https://klasma.github.io/Logging_2023/artfynd/A 20921-2021 artfynd.xlsx", "A 20921-2021")</f>
        <v/>
      </c>
      <c r="T710">
        <f>HYPERLINK("https://klasma.github.io/Logging_2023/kartor/A 20921-2021 karta.png", "A 20921-2021")</f>
        <v/>
      </c>
      <c r="V710">
        <f>HYPERLINK("https://klasma.github.io/Logging_2023/klagomål/A 20921-2021 FSC-klagomål.docx", "A 20921-2021")</f>
        <v/>
      </c>
      <c r="W710">
        <f>HYPERLINK("https://klasma.github.io/Logging_2023/klagomålsmail/A 20921-2021 FSC-klagomål mail.docx", "A 20921-2021")</f>
        <v/>
      </c>
      <c r="X710">
        <f>HYPERLINK("https://klasma.github.io/Logging_2023/tillsyn/A 20921-2021 tillsynsbegäran.docx", "A 20921-2021")</f>
        <v/>
      </c>
      <c r="Y710">
        <f>HYPERLINK("https://klasma.github.io/Logging_2023/tillsynsmail/A 20921-2021 tillsynsbegäran mail.docx", "A 20921-2021")</f>
        <v/>
      </c>
    </row>
    <row r="711" ht="15" customHeight="1">
      <c r="A711" t="inlineStr">
        <is>
          <t>A 22407-2021</t>
        </is>
      </c>
      <c r="B711" s="1" t="n">
        <v>44326</v>
      </c>
      <c r="C711" s="1" t="n">
        <v>45706</v>
      </c>
      <c r="D711" t="inlineStr">
        <is>
          <t>DALARNAS LÄN</t>
        </is>
      </c>
      <c r="E711" t="inlineStr">
        <is>
          <t>ÄLVDALEN</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22407-2021 artfynd.xlsx", "A 22407-2021")</f>
        <v/>
      </c>
      <c r="T711">
        <f>HYPERLINK("https://klasma.github.io/Logging_2039/kartor/A 22407-2021 karta.png", "A 22407-2021")</f>
        <v/>
      </c>
      <c r="V711">
        <f>HYPERLINK("https://klasma.github.io/Logging_2039/klagomål/A 22407-2021 FSC-klagomål.docx", "A 22407-2021")</f>
        <v/>
      </c>
      <c r="W711">
        <f>HYPERLINK("https://klasma.github.io/Logging_2039/klagomålsmail/A 22407-2021 FSC-klagomål mail.docx", "A 22407-2021")</f>
        <v/>
      </c>
      <c r="X711">
        <f>HYPERLINK("https://klasma.github.io/Logging_2039/tillsyn/A 22407-2021 tillsynsbegäran.docx", "A 22407-2021")</f>
        <v/>
      </c>
      <c r="Y711">
        <f>HYPERLINK("https://klasma.github.io/Logging_2039/tillsynsmail/A 22407-2021 tillsynsbegäran mail.docx", "A 22407-2021")</f>
        <v/>
      </c>
    </row>
    <row r="712" ht="15" customHeight="1">
      <c r="A712" t="inlineStr">
        <is>
          <t>A 22759-2021</t>
        </is>
      </c>
      <c r="B712" s="1" t="n">
        <v>44327</v>
      </c>
      <c r="C712" s="1" t="n">
        <v>45706</v>
      </c>
      <c r="D712" t="inlineStr">
        <is>
          <t>DALARNAS LÄN</t>
        </is>
      </c>
      <c r="E712" t="inlineStr">
        <is>
          <t>ÄLVDALEN</t>
        </is>
      </c>
      <c r="F712" t="inlineStr">
        <is>
          <t>Sveaskog</t>
        </is>
      </c>
      <c r="G712" t="n">
        <v>1.8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22759-2021 artfynd.xlsx", "A 22759-2021")</f>
        <v/>
      </c>
      <c r="T712">
        <f>HYPERLINK("https://klasma.github.io/Logging_2039/kartor/A 22759-2021 karta.png", "A 22759-2021")</f>
        <v/>
      </c>
      <c r="V712">
        <f>HYPERLINK("https://klasma.github.io/Logging_2039/klagomål/A 22759-2021 FSC-klagomål.docx", "A 22759-2021")</f>
        <v/>
      </c>
      <c r="W712">
        <f>HYPERLINK("https://klasma.github.io/Logging_2039/klagomålsmail/A 22759-2021 FSC-klagomål mail.docx", "A 22759-2021")</f>
        <v/>
      </c>
      <c r="X712">
        <f>HYPERLINK("https://klasma.github.io/Logging_2039/tillsyn/A 22759-2021 tillsynsbegäran.docx", "A 22759-2021")</f>
        <v/>
      </c>
      <c r="Y712">
        <f>HYPERLINK("https://klasma.github.io/Logging_2039/tillsynsmail/A 22759-2021 tillsynsbegäran mail.docx", "A 22759-2021")</f>
        <v/>
      </c>
    </row>
    <row r="713" ht="15" customHeight="1">
      <c r="A713" t="inlineStr">
        <is>
          <t>A 24847-2021</t>
        </is>
      </c>
      <c r="B713" s="1" t="n">
        <v>44340</v>
      </c>
      <c r="C713" s="1" t="n">
        <v>45706</v>
      </c>
      <c r="D713" t="inlineStr">
        <is>
          <t>DALARNAS LÄN</t>
        </is>
      </c>
      <c r="E713" t="inlineStr">
        <is>
          <t>ÄLVDALEN</t>
        </is>
      </c>
      <c r="F713" t="inlineStr">
        <is>
          <t>Sveaskog</t>
        </is>
      </c>
      <c r="G713" t="n">
        <v>7.1</v>
      </c>
      <c r="H713" t="n">
        <v>1</v>
      </c>
      <c r="I713" t="n">
        <v>0</v>
      </c>
      <c r="J713" t="n">
        <v>1</v>
      </c>
      <c r="K713" t="n">
        <v>0</v>
      </c>
      <c r="L713" t="n">
        <v>0</v>
      </c>
      <c r="M713" t="n">
        <v>0</v>
      </c>
      <c r="N713" t="n">
        <v>0</v>
      </c>
      <c r="O713" t="n">
        <v>1</v>
      </c>
      <c r="P713" t="n">
        <v>0</v>
      </c>
      <c r="Q713" t="n">
        <v>1</v>
      </c>
      <c r="R713" s="2" t="inlineStr">
        <is>
          <t>Varglav</t>
        </is>
      </c>
      <c r="S713">
        <f>HYPERLINK("https://klasma.github.io/Logging_2039/artfynd/A 24847-2021 artfynd.xlsx", "A 24847-2021")</f>
        <v/>
      </c>
      <c r="T713">
        <f>HYPERLINK("https://klasma.github.io/Logging_2039/kartor/A 24847-2021 karta.png", "A 24847-2021")</f>
        <v/>
      </c>
      <c r="V713">
        <f>HYPERLINK("https://klasma.github.io/Logging_2039/klagomål/A 24847-2021 FSC-klagomål.docx", "A 24847-2021")</f>
        <v/>
      </c>
      <c r="W713">
        <f>HYPERLINK("https://klasma.github.io/Logging_2039/klagomålsmail/A 24847-2021 FSC-klagomål mail.docx", "A 24847-2021")</f>
        <v/>
      </c>
      <c r="X713">
        <f>HYPERLINK("https://klasma.github.io/Logging_2039/tillsyn/A 24847-2021 tillsynsbegäran.docx", "A 24847-2021")</f>
        <v/>
      </c>
      <c r="Y713">
        <f>HYPERLINK("https://klasma.github.io/Logging_2039/tillsynsmail/A 24847-2021 tillsynsbegäran mail.docx", "A 24847-2021")</f>
        <v/>
      </c>
    </row>
    <row r="714" ht="15" customHeight="1">
      <c r="A714" t="inlineStr">
        <is>
          <t>A 26736-2021</t>
        </is>
      </c>
      <c r="B714" s="1" t="n">
        <v>44349</v>
      </c>
      <c r="C714" s="1" t="n">
        <v>45706</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26736-2021 artfynd.xlsx", "A 26736-2021")</f>
        <v/>
      </c>
      <c r="T714">
        <f>HYPERLINK("https://klasma.github.io/Logging_2039/kartor/A 26736-2021 karta.png", "A 26736-2021")</f>
        <v/>
      </c>
      <c r="V714">
        <f>HYPERLINK("https://klasma.github.io/Logging_2039/klagomål/A 26736-2021 FSC-klagomål.docx", "A 26736-2021")</f>
        <v/>
      </c>
      <c r="W714">
        <f>HYPERLINK("https://klasma.github.io/Logging_2039/klagomålsmail/A 26736-2021 FSC-klagomål mail.docx", "A 26736-2021")</f>
        <v/>
      </c>
      <c r="X714">
        <f>HYPERLINK("https://klasma.github.io/Logging_2039/tillsyn/A 26736-2021 tillsynsbegäran.docx", "A 26736-2021")</f>
        <v/>
      </c>
      <c r="Y714">
        <f>HYPERLINK("https://klasma.github.io/Logging_2039/tillsynsmail/A 26736-2021 tillsynsbegäran mail.docx", "A 26736-2021")</f>
        <v/>
      </c>
    </row>
    <row r="715" ht="15" customHeight="1">
      <c r="A715" t="inlineStr">
        <is>
          <t>A 29214-2021</t>
        </is>
      </c>
      <c r="B715" s="1" t="n">
        <v>44359</v>
      </c>
      <c r="C715" s="1" t="n">
        <v>45706</v>
      </c>
      <c r="D715" t="inlineStr">
        <is>
          <t>DALARNAS LÄN</t>
        </is>
      </c>
      <c r="E715" t="inlineStr">
        <is>
          <t>HEDEMORA</t>
        </is>
      </c>
      <c r="F715" t="inlineStr">
        <is>
          <t>Sveaskog</t>
        </is>
      </c>
      <c r="G715" t="n">
        <v>1.2</v>
      </c>
      <c r="H715" t="n">
        <v>1</v>
      </c>
      <c r="I715" t="n">
        <v>0</v>
      </c>
      <c r="J715" t="n">
        <v>0</v>
      </c>
      <c r="K715" t="n">
        <v>0</v>
      </c>
      <c r="L715" t="n">
        <v>0</v>
      </c>
      <c r="M715" t="n">
        <v>0</v>
      </c>
      <c r="N715" t="n">
        <v>0</v>
      </c>
      <c r="O715" t="n">
        <v>0</v>
      </c>
      <c r="P715" t="n">
        <v>0</v>
      </c>
      <c r="Q715" t="n">
        <v>1</v>
      </c>
      <c r="R715" s="2" t="inlineStr">
        <is>
          <t>Vanlig groda</t>
        </is>
      </c>
      <c r="S715">
        <f>HYPERLINK("https://klasma.github.io/Logging_2083/artfynd/A 29214-2021 artfynd.xlsx", "A 29214-2021")</f>
        <v/>
      </c>
      <c r="T715">
        <f>HYPERLINK("https://klasma.github.io/Logging_2083/kartor/A 29214-2021 karta.png", "A 29214-2021")</f>
        <v/>
      </c>
      <c r="V715">
        <f>HYPERLINK("https://klasma.github.io/Logging_2083/klagomål/A 29214-2021 FSC-klagomål.docx", "A 29214-2021")</f>
        <v/>
      </c>
      <c r="W715">
        <f>HYPERLINK("https://klasma.github.io/Logging_2083/klagomålsmail/A 29214-2021 FSC-klagomål mail.docx", "A 29214-2021")</f>
        <v/>
      </c>
      <c r="X715">
        <f>HYPERLINK("https://klasma.github.io/Logging_2083/tillsyn/A 29214-2021 tillsynsbegäran.docx", "A 29214-2021")</f>
        <v/>
      </c>
      <c r="Y715">
        <f>HYPERLINK("https://klasma.github.io/Logging_2083/tillsynsmail/A 29214-2021 tillsynsbegäran mail.docx", "A 29214-2021")</f>
        <v/>
      </c>
    </row>
    <row r="716" ht="15" customHeight="1">
      <c r="A716" t="inlineStr">
        <is>
          <t>A 29527-2021</t>
        </is>
      </c>
      <c r="B716" s="1" t="n">
        <v>44361</v>
      </c>
      <c r="C716" s="1" t="n">
        <v>45706</v>
      </c>
      <c r="D716" t="inlineStr">
        <is>
          <t>DALARNAS LÄN</t>
        </is>
      </c>
      <c r="E716" t="inlineStr">
        <is>
          <t>RÄTTVIK</t>
        </is>
      </c>
      <c r="G716" t="n">
        <v>4.4</v>
      </c>
      <c r="H716" t="n">
        <v>0</v>
      </c>
      <c r="I716" t="n">
        <v>0</v>
      </c>
      <c r="J716" t="n">
        <v>1</v>
      </c>
      <c r="K716" t="n">
        <v>0</v>
      </c>
      <c r="L716" t="n">
        <v>0</v>
      </c>
      <c r="M716" t="n">
        <v>0</v>
      </c>
      <c r="N716" t="n">
        <v>0</v>
      </c>
      <c r="O716" t="n">
        <v>1</v>
      </c>
      <c r="P716" t="n">
        <v>0</v>
      </c>
      <c r="Q716" t="n">
        <v>1</v>
      </c>
      <c r="R716" s="2" t="inlineStr">
        <is>
          <t>Garnlav</t>
        </is>
      </c>
      <c r="S716">
        <f>HYPERLINK("https://klasma.github.io/Logging_2031/artfynd/A 29527-2021 artfynd.xlsx", "A 29527-2021")</f>
        <v/>
      </c>
      <c r="T716">
        <f>HYPERLINK("https://klasma.github.io/Logging_2031/kartor/A 29527-2021 karta.png", "A 29527-2021")</f>
        <v/>
      </c>
      <c r="V716">
        <f>HYPERLINK("https://klasma.github.io/Logging_2031/klagomål/A 29527-2021 FSC-klagomål.docx", "A 29527-2021")</f>
        <v/>
      </c>
      <c r="W716">
        <f>HYPERLINK("https://klasma.github.io/Logging_2031/klagomålsmail/A 29527-2021 FSC-klagomål mail.docx", "A 29527-2021")</f>
        <v/>
      </c>
      <c r="X716">
        <f>HYPERLINK("https://klasma.github.io/Logging_2031/tillsyn/A 29527-2021 tillsynsbegäran.docx", "A 29527-2021")</f>
        <v/>
      </c>
      <c r="Y716">
        <f>HYPERLINK("https://klasma.github.io/Logging_2031/tillsynsmail/A 29527-2021 tillsynsbegäran mail.docx", "A 29527-2021")</f>
        <v/>
      </c>
    </row>
    <row r="717" ht="15" customHeight="1">
      <c r="A717" t="inlineStr">
        <is>
          <t>A 30328-2021</t>
        </is>
      </c>
      <c r="B717" s="1" t="n">
        <v>44364</v>
      </c>
      <c r="C717" s="1" t="n">
        <v>45706</v>
      </c>
      <c r="D717" t="inlineStr">
        <is>
          <t>DALARNAS LÄN</t>
        </is>
      </c>
      <c r="E717" t="inlineStr">
        <is>
          <t>MORA</t>
        </is>
      </c>
      <c r="F717" t="inlineStr">
        <is>
          <t>Bergvik skog öst AB</t>
        </is>
      </c>
      <c r="G717" t="n">
        <v>1.1</v>
      </c>
      <c r="H717" t="n">
        <v>1</v>
      </c>
      <c r="I717" t="n">
        <v>0</v>
      </c>
      <c r="J717" t="n">
        <v>1</v>
      </c>
      <c r="K717" t="n">
        <v>0</v>
      </c>
      <c r="L717" t="n">
        <v>0</v>
      </c>
      <c r="M717" t="n">
        <v>0</v>
      </c>
      <c r="N717" t="n">
        <v>0</v>
      </c>
      <c r="O717" t="n">
        <v>1</v>
      </c>
      <c r="P717" t="n">
        <v>0</v>
      </c>
      <c r="Q717" t="n">
        <v>1</v>
      </c>
      <c r="R717" s="2" t="inlineStr">
        <is>
          <t>Fjällvråk</t>
        </is>
      </c>
      <c r="S717">
        <f>HYPERLINK("https://klasma.github.io/Logging_2062/artfynd/A 30328-2021 artfynd.xlsx", "A 30328-2021")</f>
        <v/>
      </c>
      <c r="T717">
        <f>HYPERLINK("https://klasma.github.io/Logging_2062/kartor/A 30328-2021 karta.png", "A 30328-2021")</f>
        <v/>
      </c>
      <c r="V717">
        <f>HYPERLINK("https://klasma.github.io/Logging_2062/klagomål/A 30328-2021 FSC-klagomål.docx", "A 30328-2021")</f>
        <v/>
      </c>
      <c r="W717">
        <f>HYPERLINK("https://klasma.github.io/Logging_2062/klagomålsmail/A 30328-2021 FSC-klagomål mail.docx", "A 30328-2021")</f>
        <v/>
      </c>
      <c r="X717">
        <f>HYPERLINK("https://klasma.github.io/Logging_2062/tillsyn/A 30328-2021 tillsynsbegäran.docx", "A 30328-2021")</f>
        <v/>
      </c>
      <c r="Y717">
        <f>HYPERLINK("https://klasma.github.io/Logging_2062/tillsynsmail/A 30328-2021 tillsynsbegäran mail.docx", "A 30328-2021")</f>
        <v/>
      </c>
      <c r="Z717">
        <f>HYPERLINK("https://klasma.github.io/Logging_2062/fåglar/A 30328-2021 prioriterade fågelarter.docx", "A 30328-2021")</f>
        <v/>
      </c>
    </row>
    <row r="718" ht="15" customHeight="1">
      <c r="A718" t="inlineStr">
        <is>
          <t>A 30971-2021</t>
        </is>
      </c>
      <c r="B718" s="1" t="n">
        <v>44365</v>
      </c>
      <c r="C718" s="1" t="n">
        <v>45706</v>
      </c>
      <c r="D718" t="inlineStr">
        <is>
          <t>DALARNAS LÄN</t>
        </is>
      </c>
      <c r="E718" t="inlineStr">
        <is>
          <t>ÄLVDALEN</t>
        </is>
      </c>
      <c r="F718" t="inlineStr">
        <is>
          <t>Sveaskog</t>
        </is>
      </c>
      <c r="G718" t="n">
        <v>1.9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30971-2021 artfynd.xlsx", "A 30971-2021")</f>
        <v/>
      </c>
      <c r="T718">
        <f>HYPERLINK("https://klasma.github.io/Logging_2039/kartor/A 30971-2021 karta.png", "A 30971-2021")</f>
        <v/>
      </c>
      <c r="V718">
        <f>HYPERLINK("https://klasma.github.io/Logging_2039/klagomål/A 30971-2021 FSC-klagomål.docx", "A 30971-2021")</f>
        <v/>
      </c>
      <c r="W718">
        <f>HYPERLINK("https://klasma.github.io/Logging_2039/klagomålsmail/A 30971-2021 FSC-klagomål mail.docx", "A 30971-2021")</f>
        <v/>
      </c>
      <c r="X718">
        <f>HYPERLINK("https://klasma.github.io/Logging_2039/tillsyn/A 30971-2021 tillsynsbegäran.docx", "A 30971-2021")</f>
        <v/>
      </c>
      <c r="Y718">
        <f>HYPERLINK("https://klasma.github.io/Logging_2039/tillsynsmail/A 30971-2021 tillsynsbegäran mail.docx", "A 30971-2021")</f>
        <v/>
      </c>
    </row>
    <row r="719" ht="15" customHeight="1">
      <c r="A719" t="inlineStr">
        <is>
          <t>A 31539-2021</t>
        </is>
      </c>
      <c r="B719" s="1" t="n">
        <v>44369</v>
      </c>
      <c r="C719" s="1" t="n">
        <v>45706</v>
      </c>
      <c r="D719" t="inlineStr">
        <is>
          <t>DALARNAS LÄN</t>
        </is>
      </c>
      <c r="E719" t="inlineStr">
        <is>
          <t>HEDEMORA</t>
        </is>
      </c>
      <c r="F719" t="inlineStr">
        <is>
          <t>Sveaskog</t>
        </is>
      </c>
      <c r="G719" t="n">
        <v>13.5</v>
      </c>
      <c r="H719" t="n">
        <v>0</v>
      </c>
      <c r="I719" t="n">
        <v>1</v>
      </c>
      <c r="J719" t="n">
        <v>0</v>
      </c>
      <c r="K719" t="n">
        <v>0</v>
      </c>
      <c r="L719" t="n">
        <v>0</v>
      </c>
      <c r="M719" t="n">
        <v>0</v>
      </c>
      <c r="N719" t="n">
        <v>0</v>
      </c>
      <c r="O719" t="n">
        <v>0</v>
      </c>
      <c r="P719" t="n">
        <v>0</v>
      </c>
      <c r="Q719" t="n">
        <v>1</v>
      </c>
      <c r="R719" s="2" t="inlineStr">
        <is>
          <t>Brandticka</t>
        </is>
      </c>
      <c r="S719">
        <f>HYPERLINK("https://klasma.github.io/Logging_2083/artfynd/A 31539-2021 artfynd.xlsx", "A 31539-2021")</f>
        <v/>
      </c>
      <c r="T719">
        <f>HYPERLINK("https://klasma.github.io/Logging_2083/kartor/A 31539-2021 karta.png", "A 31539-2021")</f>
        <v/>
      </c>
      <c r="V719">
        <f>HYPERLINK("https://klasma.github.io/Logging_2083/klagomål/A 31539-2021 FSC-klagomål.docx", "A 31539-2021")</f>
        <v/>
      </c>
      <c r="W719">
        <f>HYPERLINK("https://klasma.github.io/Logging_2083/klagomålsmail/A 31539-2021 FSC-klagomål mail.docx", "A 31539-2021")</f>
        <v/>
      </c>
      <c r="X719">
        <f>HYPERLINK("https://klasma.github.io/Logging_2083/tillsyn/A 31539-2021 tillsynsbegäran.docx", "A 31539-2021")</f>
        <v/>
      </c>
      <c r="Y719">
        <f>HYPERLINK("https://klasma.github.io/Logging_2083/tillsynsmail/A 31539-2021 tillsynsbegäran mail.docx", "A 31539-2021")</f>
        <v/>
      </c>
    </row>
    <row r="720" ht="15" customHeight="1">
      <c r="A720" t="inlineStr">
        <is>
          <t>A 31761-2021</t>
        </is>
      </c>
      <c r="B720" s="1" t="n">
        <v>44370</v>
      </c>
      <c r="C720" s="1" t="n">
        <v>45706</v>
      </c>
      <c r="D720" t="inlineStr">
        <is>
          <t>DALARNAS LÄN</t>
        </is>
      </c>
      <c r="E720" t="inlineStr">
        <is>
          <t>ÄLVDALEN</t>
        </is>
      </c>
      <c r="F720" t="inlineStr">
        <is>
          <t>Sveaskog</t>
        </is>
      </c>
      <c r="G720" t="n">
        <v>29.4</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31761-2021 artfynd.xlsx", "A 31761-2021")</f>
        <v/>
      </c>
      <c r="T720">
        <f>HYPERLINK("https://klasma.github.io/Logging_2039/kartor/A 31761-2021 karta.png", "A 31761-2021")</f>
        <v/>
      </c>
      <c r="V720">
        <f>HYPERLINK("https://klasma.github.io/Logging_2039/klagomål/A 31761-2021 FSC-klagomål.docx", "A 31761-2021")</f>
        <v/>
      </c>
      <c r="W720">
        <f>HYPERLINK("https://klasma.github.io/Logging_2039/klagomålsmail/A 31761-2021 FSC-klagomål mail.docx", "A 31761-2021")</f>
        <v/>
      </c>
      <c r="X720">
        <f>HYPERLINK("https://klasma.github.io/Logging_2039/tillsyn/A 31761-2021 tillsynsbegäran.docx", "A 31761-2021")</f>
        <v/>
      </c>
      <c r="Y720">
        <f>HYPERLINK("https://klasma.github.io/Logging_2039/tillsynsmail/A 31761-2021 tillsynsbegäran mail.docx", "A 31761-2021")</f>
        <v/>
      </c>
    </row>
    <row r="721" ht="15" customHeight="1">
      <c r="A721" t="inlineStr">
        <is>
          <t>A 34099-2021</t>
        </is>
      </c>
      <c r="B721" s="1" t="n">
        <v>44379</v>
      </c>
      <c r="C721" s="1" t="n">
        <v>45706</v>
      </c>
      <c r="D721" t="inlineStr">
        <is>
          <t>DALARNAS LÄN</t>
        </is>
      </c>
      <c r="E721" t="inlineStr">
        <is>
          <t>ÄLVDALEN</t>
        </is>
      </c>
      <c r="F721" t="inlineStr">
        <is>
          <t>Sveaskog</t>
        </is>
      </c>
      <c r="G721" t="n">
        <v>9.4</v>
      </c>
      <c r="H721" t="n">
        <v>1</v>
      </c>
      <c r="I721" t="n">
        <v>0</v>
      </c>
      <c r="J721" t="n">
        <v>1</v>
      </c>
      <c r="K721" t="n">
        <v>0</v>
      </c>
      <c r="L721" t="n">
        <v>0</v>
      </c>
      <c r="M721" t="n">
        <v>0</v>
      </c>
      <c r="N721" t="n">
        <v>0</v>
      </c>
      <c r="O721" t="n">
        <v>1</v>
      </c>
      <c r="P721" t="n">
        <v>0</v>
      </c>
      <c r="Q721" t="n">
        <v>1</v>
      </c>
      <c r="R721" s="2" t="inlineStr">
        <is>
          <t>Varglav</t>
        </is>
      </c>
      <c r="S721">
        <f>HYPERLINK("https://klasma.github.io/Logging_2039/artfynd/A 34099-2021 artfynd.xlsx", "A 34099-2021")</f>
        <v/>
      </c>
      <c r="T721">
        <f>HYPERLINK("https://klasma.github.io/Logging_2039/kartor/A 34099-2021 karta.png", "A 34099-2021")</f>
        <v/>
      </c>
      <c r="V721">
        <f>HYPERLINK("https://klasma.github.io/Logging_2039/klagomål/A 34099-2021 FSC-klagomål.docx", "A 34099-2021")</f>
        <v/>
      </c>
      <c r="W721">
        <f>HYPERLINK("https://klasma.github.io/Logging_2039/klagomålsmail/A 34099-2021 FSC-klagomål mail.docx", "A 34099-2021")</f>
        <v/>
      </c>
      <c r="X721">
        <f>HYPERLINK("https://klasma.github.io/Logging_2039/tillsyn/A 34099-2021 tillsynsbegäran.docx", "A 34099-2021")</f>
        <v/>
      </c>
      <c r="Y721">
        <f>HYPERLINK("https://klasma.github.io/Logging_2039/tillsynsmail/A 34099-2021 tillsynsbegäran mail.docx", "A 34099-2021")</f>
        <v/>
      </c>
    </row>
    <row r="722" ht="15" customHeight="1">
      <c r="A722" t="inlineStr">
        <is>
          <t>A 36549-2021</t>
        </is>
      </c>
      <c r="B722" s="1" t="n">
        <v>44391</v>
      </c>
      <c r="C722" s="1" t="n">
        <v>45706</v>
      </c>
      <c r="D722" t="inlineStr">
        <is>
          <t>DALARNAS LÄN</t>
        </is>
      </c>
      <c r="E722" t="inlineStr">
        <is>
          <t>LEKSAND</t>
        </is>
      </c>
      <c r="F722" t="inlineStr">
        <is>
          <t>Bergvik skog väst AB</t>
        </is>
      </c>
      <c r="G722" t="n">
        <v>5.9</v>
      </c>
      <c r="H722" t="n">
        <v>0</v>
      </c>
      <c r="I722" t="n">
        <v>1</v>
      </c>
      <c r="J722" t="n">
        <v>0</v>
      </c>
      <c r="K722" t="n">
        <v>0</v>
      </c>
      <c r="L722" t="n">
        <v>0</v>
      </c>
      <c r="M722" t="n">
        <v>0</v>
      </c>
      <c r="N722" t="n">
        <v>0</v>
      </c>
      <c r="O722" t="n">
        <v>0</v>
      </c>
      <c r="P722" t="n">
        <v>0</v>
      </c>
      <c r="Q722" t="n">
        <v>1</v>
      </c>
      <c r="R722" s="2" t="inlineStr">
        <is>
          <t>Dropptaggsvamp</t>
        </is>
      </c>
      <c r="S722">
        <f>HYPERLINK("https://klasma.github.io/Logging_2029/artfynd/A 36549-2021 artfynd.xlsx", "A 36549-2021")</f>
        <v/>
      </c>
      <c r="T722">
        <f>HYPERLINK("https://klasma.github.io/Logging_2029/kartor/A 36549-2021 karta.png", "A 36549-2021")</f>
        <v/>
      </c>
      <c r="V722">
        <f>HYPERLINK("https://klasma.github.io/Logging_2029/klagomål/A 36549-2021 FSC-klagomål.docx", "A 36549-2021")</f>
        <v/>
      </c>
      <c r="W722">
        <f>HYPERLINK("https://klasma.github.io/Logging_2029/klagomålsmail/A 36549-2021 FSC-klagomål mail.docx", "A 36549-2021")</f>
        <v/>
      </c>
      <c r="X722">
        <f>HYPERLINK("https://klasma.github.io/Logging_2029/tillsyn/A 36549-2021 tillsynsbegäran.docx", "A 36549-2021")</f>
        <v/>
      </c>
      <c r="Y722">
        <f>HYPERLINK("https://klasma.github.io/Logging_2029/tillsynsmail/A 36549-2021 tillsynsbegäran mail.docx", "A 36549-2021")</f>
        <v/>
      </c>
    </row>
    <row r="723" ht="15" customHeight="1">
      <c r="A723" t="inlineStr">
        <is>
          <t>A 36615-2021</t>
        </is>
      </c>
      <c r="B723" s="1" t="n">
        <v>44391</v>
      </c>
      <c r="C723" s="1" t="n">
        <v>45706</v>
      </c>
      <c r="D723" t="inlineStr">
        <is>
          <t>DALARNAS LÄN</t>
        </is>
      </c>
      <c r="E723" t="inlineStr">
        <is>
          <t>RÄTTVIK</t>
        </is>
      </c>
      <c r="F723" t="inlineStr">
        <is>
          <t>Sveaskog</t>
        </is>
      </c>
      <c r="G723" t="n">
        <v>4.7</v>
      </c>
      <c r="H723" t="n">
        <v>1</v>
      </c>
      <c r="I723" t="n">
        <v>0</v>
      </c>
      <c r="J723" t="n">
        <v>0</v>
      </c>
      <c r="K723" t="n">
        <v>0</v>
      </c>
      <c r="L723" t="n">
        <v>0</v>
      </c>
      <c r="M723" t="n">
        <v>0</v>
      </c>
      <c r="N723" t="n">
        <v>0</v>
      </c>
      <c r="O723" t="n">
        <v>0</v>
      </c>
      <c r="P723" t="n">
        <v>0</v>
      </c>
      <c r="Q723" t="n">
        <v>1</v>
      </c>
      <c r="R723" s="2" t="inlineStr">
        <is>
          <t>Fläcknycklar</t>
        </is>
      </c>
      <c r="S723">
        <f>HYPERLINK("https://klasma.github.io/Logging_2031/artfynd/A 36615-2021 artfynd.xlsx", "A 36615-2021")</f>
        <v/>
      </c>
      <c r="T723">
        <f>HYPERLINK("https://klasma.github.io/Logging_2031/kartor/A 36615-2021 karta.png", "A 36615-2021")</f>
        <v/>
      </c>
      <c r="V723">
        <f>HYPERLINK("https://klasma.github.io/Logging_2031/klagomål/A 36615-2021 FSC-klagomål.docx", "A 36615-2021")</f>
        <v/>
      </c>
      <c r="W723">
        <f>HYPERLINK("https://klasma.github.io/Logging_2031/klagomålsmail/A 36615-2021 FSC-klagomål mail.docx", "A 36615-2021")</f>
        <v/>
      </c>
      <c r="X723">
        <f>HYPERLINK("https://klasma.github.io/Logging_2031/tillsyn/A 36615-2021 tillsynsbegäran.docx", "A 36615-2021")</f>
        <v/>
      </c>
      <c r="Y723">
        <f>HYPERLINK("https://klasma.github.io/Logging_2031/tillsynsmail/A 36615-2021 tillsynsbegäran mail.docx", "A 36615-2021")</f>
        <v/>
      </c>
    </row>
    <row r="724" ht="15" customHeight="1">
      <c r="A724" t="inlineStr">
        <is>
          <t>A 38674-2021</t>
        </is>
      </c>
      <c r="B724" s="1" t="n">
        <v>44410</v>
      </c>
      <c r="C724" s="1" t="n">
        <v>45706</v>
      </c>
      <c r="D724" t="inlineStr">
        <is>
          <t>DALARNAS LÄN</t>
        </is>
      </c>
      <c r="E724" t="inlineStr">
        <is>
          <t>LUDVIKA</t>
        </is>
      </c>
      <c r="G724" t="n">
        <v>6.3</v>
      </c>
      <c r="H724" t="n">
        <v>0</v>
      </c>
      <c r="I724" t="n">
        <v>0</v>
      </c>
      <c r="J724" t="n">
        <v>1</v>
      </c>
      <c r="K724" t="n">
        <v>0</v>
      </c>
      <c r="L724" t="n">
        <v>0</v>
      </c>
      <c r="M724" t="n">
        <v>0</v>
      </c>
      <c r="N724" t="n">
        <v>0</v>
      </c>
      <c r="O724" t="n">
        <v>1</v>
      </c>
      <c r="P724" t="n">
        <v>0</v>
      </c>
      <c r="Q724" t="n">
        <v>1</v>
      </c>
      <c r="R724" s="2" t="inlineStr">
        <is>
          <t>Dvärgbägarlav</t>
        </is>
      </c>
      <c r="S724">
        <f>HYPERLINK("https://klasma.github.io/Logging_2085/artfynd/A 38674-2021 artfynd.xlsx", "A 38674-2021")</f>
        <v/>
      </c>
      <c r="T724">
        <f>HYPERLINK("https://klasma.github.io/Logging_2085/kartor/A 38674-2021 karta.png", "A 38674-2021")</f>
        <v/>
      </c>
      <c r="V724">
        <f>HYPERLINK("https://klasma.github.io/Logging_2085/klagomål/A 38674-2021 FSC-klagomål.docx", "A 38674-2021")</f>
        <v/>
      </c>
      <c r="W724">
        <f>HYPERLINK("https://klasma.github.io/Logging_2085/klagomålsmail/A 38674-2021 FSC-klagomål mail.docx", "A 38674-2021")</f>
        <v/>
      </c>
      <c r="X724">
        <f>HYPERLINK("https://klasma.github.io/Logging_2085/tillsyn/A 38674-2021 tillsynsbegäran.docx", "A 38674-2021")</f>
        <v/>
      </c>
      <c r="Y724">
        <f>HYPERLINK("https://klasma.github.io/Logging_2085/tillsynsmail/A 38674-2021 tillsynsbegäran mail.docx", "A 38674-2021")</f>
        <v/>
      </c>
    </row>
    <row r="725" ht="15" customHeight="1">
      <c r="A725" t="inlineStr">
        <is>
          <t>A 38708-2021</t>
        </is>
      </c>
      <c r="B725" s="1" t="n">
        <v>44410</v>
      </c>
      <c r="C725" s="1" t="n">
        <v>45706</v>
      </c>
      <c r="D725" t="inlineStr">
        <is>
          <t>DALARNAS LÄN</t>
        </is>
      </c>
      <c r="E725" t="inlineStr">
        <is>
          <t>BORLÄNGE</t>
        </is>
      </c>
      <c r="G725" t="n">
        <v>1.1</v>
      </c>
      <c r="H725" t="n">
        <v>0</v>
      </c>
      <c r="I725" t="n">
        <v>0</v>
      </c>
      <c r="J725" t="n">
        <v>1</v>
      </c>
      <c r="K725" t="n">
        <v>0</v>
      </c>
      <c r="L725" t="n">
        <v>0</v>
      </c>
      <c r="M725" t="n">
        <v>0</v>
      </c>
      <c r="N725" t="n">
        <v>0</v>
      </c>
      <c r="O725" t="n">
        <v>1</v>
      </c>
      <c r="P725" t="n">
        <v>0</v>
      </c>
      <c r="Q725" t="n">
        <v>1</v>
      </c>
      <c r="R725" s="2" t="inlineStr">
        <is>
          <t>Äggvaxskivling</t>
        </is>
      </c>
      <c r="S725">
        <f>HYPERLINK("https://klasma.github.io/Logging_2081/artfynd/A 38708-2021 artfynd.xlsx", "A 38708-2021")</f>
        <v/>
      </c>
      <c r="T725">
        <f>HYPERLINK("https://klasma.github.io/Logging_2081/kartor/A 38708-2021 karta.png", "A 38708-2021")</f>
        <v/>
      </c>
      <c r="V725">
        <f>HYPERLINK("https://klasma.github.io/Logging_2081/klagomål/A 38708-2021 FSC-klagomål.docx", "A 38708-2021")</f>
        <v/>
      </c>
      <c r="W725">
        <f>HYPERLINK("https://klasma.github.io/Logging_2081/klagomålsmail/A 38708-2021 FSC-klagomål mail.docx", "A 38708-2021")</f>
        <v/>
      </c>
      <c r="X725">
        <f>HYPERLINK("https://klasma.github.io/Logging_2081/tillsyn/A 38708-2021 tillsynsbegäran.docx", "A 38708-2021")</f>
        <v/>
      </c>
      <c r="Y725">
        <f>HYPERLINK("https://klasma.github.io/Logging_2081/tillsynsmail/A 38708-2021 tillsynsbegäran mail.docx", "A 38708-2021")</f>
        <v/>
      </c>
    </row>
    <row r="726" ht="15" customHeight="1">
      <c r="A726" t="inlineStr">
        <is>
          <t>A 39484-2021</t>
        </is>
      </c>
      <c r="B726" s="1" t="n">
        <v>44414</v>
      </c>
      <c r="C726" s="1" t="n">
        <v>45706</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41718-2021</t>
        </is>
      </c>
      <c r="B727" s="1" t="n">
        <v>44425</v>
      </c>
      <c r="C727" s="1" t="n">
        <v>45706</v>
      </c>
      <c r="D727" t="inlineStr">
        <is>
          <t>DALARNAS LÄN</t>
        </is>
      </c>
      <c r="E727" t="inlineStr">
        <is>
          <t>LEKSAND</t>
        </is>
      </c>
      <c r="F727" t="inlineStr">
        <is>
          <t>Bergvik skog väst AB</t>
        </is>
      </c>
      <c r="G727" t="n">
        <v>5.7</v>
      </c>
      <c r="H727" t="n">
        <v>0</v>
      </c>
      <c r="I727" t="n">
        <v>0</v>
      </c>
      <c r="J727" t="n">
        <v>1</v>
      </c>
      <c r="K727" t="n">
        <v>0</v>
      </c>
      <c r="L727" t="n">
        <v>0</v>
      </c>
      <c r="M727" t="n">
        <v>0</v>
      </c>
      <c r="N727" t="n">
        <v>0</v>
      </c>
      <c r="O727" t="n">
        <v>1</v>
      </c>
      <c r="P727" t="n">
        <v>0</v>
      </c>
      <c r="Q727" t="n">
        <v>1</v>
      </c>
      <c r="R727" s="2" t="inlineStr">
        <is>
          <t>Garnlav</t>
        </is>
      </c>
      <c r="S727">
        <f>HYPERLINK("https://klasma.github.io/Logging_2029/artfynd/A 41718-2021 artfynd.xlsx", "A 41718-2021")</f>
        <v/>
      </c>
      <c r="T727">
        <f>HYPERLINK("https://klasma.github.io/Logging_2029/kartor/A 41718-2021 karta.png", "A 41718-2021")</f>
        <v/>
      </c>
      <c r="V727">
        <f>HYPERLINK("https://klasma.github.io/Logging_2029/klagomål/A 41718-2021 FSC-klagomål.docx", "A 41718-2021")</f>
        <v/>
      </c>
      <c r="W727">
        <f>HYPERLINK("https://klasma.github.io/Logging_2029/klagomålsmail/A 41718-2021 FSC-klagomål mail.docx", "A 41718-2021")</f>
        <v/>
      </c>
      <c r="X727">
        <f>HYPERLINK("https://klasma.github.io/Logging_2029/tillsyn/A 41718-2021 tillsynsbegäran.docx", "A 41718-2021")</f>
        <v/>
      </c>
      <c r="Y727">
        <f>HYPERLINK("https://klasma.github.io/Logging_2029/tillsynsmail/A 41718-2021 tillsynsbegäran mail.docx", "A 41718-2021")</f>
        <v/>
      </c>
    </row>
    <row r="728" ht="15" customHeight="1">
      <c r="A728" t="inlineStr">
        <is>
          <t>A 41874-2021</t>
        </is>
      </c>
      <c r="B728" s="1" t="n">
        <v>44426</v>
      </c>
      <c r="C728" s="1" t="n">
        <v>45706</v>
      </c>
      <c r="D728" t="inlineStr">
        <is>
          <t>DALARNAS LÄN</t>
        </is>
      </c>
      <c r="E728" t="inlineStr">
        <is>
          <t>BORLÄNGE</t>
        </is>
      </c>
      <c r="G728" t="n">
        <v>13</v>
      </c>
      <c r="H728" t="n">
        <v>0</v>
      </c>
      <c r="I728" t="n">
        <v>1</v>
      </c>
      <c r="J728" t="n">
        <v>0</v>
      </c>
      <c r="K728" t="n">
        <v>0</v>
      </c>
      <c r="L728" t="n">
        <v>0</v>
      </c>
      <c r="M728" t="n">
        <v>0</v>
      </c>
      <c r="N728" t="n">
        <v>0</v>
      </c>
      <c r="O728" t="n">
        <v>0</v>
      </c>
      <c r="P728" t="n">
        <v>0</v>
      </c>
      <c r="Q728" t="n">
        <v>1</v>
      </c>
      <c r="R728" s="2" t="inlineStr">
        <is>
          <t>Skinnlav</t>
        </is>
      </c>
      <c r="S728">
        <f>HYPERLINK("https://klasma.github.io/Logging_2081/artfynd/A 41874-2021 artfynd.xlsx", "A 41874-2021")</f>
        <v/>
      </c>
      <c r="T728">
        <f>HYPERLINK("https://klasma.github.io/Logging_2081/kartor/A 41874-2021 karta.png", "A 41874-2021")</f>
        <v/>
      </c>
      <c r="V728">
        <f>HYPERLINK("https://klasma.github.io/Logging_2081/klagomål/A 41874-2021 FSC-klagomål.docx", "A 41874-2021")</f>
        <v/>
      </c>
      <c r="W728">
        <f>HYPERLINK("https://klasma.github.io/Logging_2081/klagomålsmail/A 41874-2021 FSC-klagomål mail.docx", "A 41874-2021")</f>
        <v/>
      </c>
      <c r="X728">
        <f>HYPERLINK("https://klasma.github.io/Logging_2081/tillsyn/A 41874-2021 tillsynsbegäran.docx", "A 41874-2021")</f>
        <v/>
      </c>
      <c r="Y728">
        <f>HYPERLINK("https://klasma.github.io/Logging_2081/tillsynsmail/A 41874-2021 tillsynsbegäran mail.docx", "A 41874-2021")</f>
        <v/>
      </c>
    </row>
    <row r="729" ht="15" customHeight="1">
      <c r="A729" t="inlineStr">
        <is>
          <t>A 42981-2021</t>
        </is>
      </c>
      <c r="B729" s="1" t="n">
        <v>44427</v>
      </c>
      <c r="C729" s="1" t="n">
        <v>45706</v>
      </c>
      <c r="D729" t="inlineStr">
        <is>
          <t>DALARNAS LÄN</t>
        </is>
      </c>
      <c r="E729" t="inlineStr">
        <is>
          <t>MALUNG-SÄLEN</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HYPERLINK("https://klasma.github.io/Logging_2023/artfynd/A 42981-2021 artfynd.xlsx", "A 42981-2021")</f>
        <v/>
      </c>
      <c r="T729">
        <f>HYPERLINK("https://klasma.github.io/Logging_2023/kartor/A 42981-2021 karta.png", "A 42981-2021")</f>
        <v/>
      </c>
      <c r="V729">
        <f>HYPERLINK("https://klasma.github.io/Logging_2023/klagomål/A 42981-2021 FSC-klagomål.docx", "A 42981-2021")</f>
        <v/>
      </c>
      <c r="W729">
        <f>HYPERLINK("https://klasma.github.io/Logging_2023/klagomålsmail/A 42981-2021 FSC-klagomål mail.docx", "A 42981-2021")</f>
        <v/>
      </c>
      <c r="X729">
        <f>HYPERLINK("https://klasma.github.io/Logging_2023/tillsyn/A 42981-2021 tillsynsbegäran.docx", "A 42981-2021")</f>
        <v/>
      </c>
      <c r="Y729">
        <f>HYPERLINK("https://klasma.github.io/Logging_2023/tillsynsmail/A 42981-2021 tillsynsbegäran mail.docx", "A 42981-2021")</f>
        <v/>
      </c>
    </row>
    <row r="730" ht="15" customHeight="1">
      <c r="A730" t="inlineStr">
        <is>
          <t>A 42701-2021</t>
        </is>
      </c>
      <c r="B730" s="1" t="n">
        <v>44428</v>
      </c>
      <c r="C730" s="1" t="n">
        <v>45706</v>
      </c>
      <c r="D730" t="inlineStr">
        <is>
          <t>DALARNAS LÄN</t>
        </is>
      </c>
      <c r="E730" t="inlineStr">
        <is>
          <t>AVESTA</t>
        </is>
      </c>
      <c r="F730" t="inlineStr">
        <is>
          <t>Sveaskog</t>
        </is>
      </c>
      <c r="G730" t="n">
        <v>1.3</v>
      </c>
      <c r="H730" t="n">
        <v>1</v>
      </c>
      <c r="I730" t="n">
        <v>0</v>
      </c>
      <c r="J730" t="n">
        <v>0</v>
      </c>
      <c r="K730" t="n">
        <v>0</v>
      </c>
      <c r="L730" t="n">
        <v>0</v>
      </c>
      <c r="M730" t="n">
        <v>0</v>
      </c>
      <c r="N730" t="n">
        <v>0</v>
      </c>
      <c r="O730" t="n">
        <v>0</v>
      </c>
      <c r="P730" t="n">
        <v>0</v>
      </c>
      <c r="Q730" t="n">
        <v>1</v>
      </c>
      <c r="R730" s="2" t="inlineStr">
        <is>
          <t>Revlummer</t>
        </is>
      </c>
      <c r="S730">
        <f>HYPERLINK("https://klasma.github.io/Logging_2084/artfynd/A 42701-2021 artfynd.xlsx", "A 42701-2021")</f>
        <v/>
      </c>
      <c r="T730">
        <f>HYPERLINK("https://klasma.github.io/Logging_2084/kartor/A 42701-2021 karta.png", "A 42701-2021")</f>
        <v/>
      </c>
      <c r="V730">
        <f>HYPERLINK("https://klasma.github.io/Logging_2084/klagomål/A 42701-2021 FSC-klagomål.docx", "A 42701-2021")</f>
        <v/>
      </c>
      <c r="W730">
        <f>HYPERLINK("https://klasma.github.io/Logging_2084/klagomålsmail/A 42701-2021 FSC-klagomål mail.docx", "A 42701-2021")</f>
        <v/>
      </c>
      <c r="X730">
        <f>HYPERLINK("https://klasma.github.io/Logging_2084/tillsyn/A 42701-2021 tillsynsbegäran.docx", "A 42701-2021")</f>
        <v/>
      </c>
      <c r="Y730">
        <f>HYPERLINK("https://klasma.github.io/Logging_2084/tillsynsmail/A 42701-2021 tillsynsbegäran mail.docx", "A 42701-2021")</f>
        <v/>
      </c>
    </row>
    <row r="731" ht="15" customHeight="1">
      <c r="A731" t="inlineStr">
        <is>
          <t>A 43377-2021</t>
        </is>
      </c>
      <c r="B731" s="1" t="n">
        <v>44432</v>
      </c>
      <c r="C731" s="1" t="n">
        <v>45706</v>
      </c>
      <c r="D731" t="inlineStr">
        <is>
          <t>DALARNAS LÄN</t>
        </is>
      </c>
      <c r="E731" t="inlineStr">
        <is>
          <t>SMEDJEBACKEN</t>
        </is>
      </c>
      <c r="G731" t="n">
        <v>2.6</v>
      </c>
      <c r="H731" t="n">
        <v>0</v>
      </c>
      <c r="I731" t="n">
        <v>1</v>
      </c>
      <c r="J731" t="n">
        <v>0</v>
      </c>
      <c r="K731" t="n">
        <v>0</v>
      </c>
      <c r="L731" t="n">
        <v>0</v>
      </c>
      <c r="M731" t="n">
        <v>0</v>
      </c>
      <c r="N731" t="n">
        <v>0</v>
      </c>
      <c r="O731" t="n">
        <v>0</v>
      </c>
      <c r="P731" t="n">
        <v>0</v>
      </c>
      <c r="Q731" t="n">
        <v>1</v>
      </c>
      <c r="R731" s="2" t="inlineStr">
        <is>
          <t>Fjällig taggsvamp s.str.</t>
        </is>
      </c>
      <c r="S731">
        <f>HYPERLINK("https://klasma.github.io/Logging_2061/artfynd/A 43377-2021 artfynd.xlsx", "A 43377-2021")</f>
        <v/>
      </c>
      <c r="T731">
        <f>HYPERLINK("https://klasma.github.io/Logging_2061/kartor/A 43377-2021 karta.png", "A 43377-2021")</f>
        <v/>
      </c>
      <c r="U731">
        <f>HYPERLINK("https://klasma.github.io/Logging_2061/knärot/A 43377-2021 karta knärot.png", "A 43377-2021")</f>
        <v/>
      </c>
      <c r="V731">
        <f>HYPERLINK("https://klasma.github.io/Logging_2061/klagomål/A 43377-2021 FSC-klagomål.docx", "A 43377-2021")</f>
        <v/>
      </c>
      <c r="W731">
        <f>HYPERLINK("https://klasma.github.io/Logging_2061/klagomålsmail/A 43377-2021 FSC-klagomål mail.docx", "A 43377-2021")</f>
        <v/>
      </c>
      <c r="X731">
        <f>HYPERLINK("https://klasma.github.io/Logging_2061/tillsyn/A 43377-2021 tillsynsbegäran.docx", "A 43377-2021")</f>
        <v/>
      </c>
      <c r="Y731">
        <f>HYPERLINK("https://klasma.github.io/Logging_2061/tillsynsmail/A 43377-2021 tillsynsbegäran mail.docx", "A 43377-2021")</f>
        <v/>
      </c>
    </row>
    <row r="732" ht="15" customHeight="1">
      <c r="A732" t="inlineStr">
        <is>
          <t>A 45205-2021</t>
        </is>
      </c>
      <c r="B732" s="1" t="n">
        <v>44439</v>
      </c>
      <c r="C732" s="1" t="n">
        <v>45706</v>
      </c>
      <c r="D732" t="inlineStr">
        <is>
          <t>DALARNAS LÄN</t>
        </is>
      </c>
      <c r="E732" t="inlineStr">
        <is>
          <t>VANSBRO</t>
        </is>
      </c>
      <c r="G732" t="n">
        <v>1.5</v>
      </c>
      <c r="H732" t="n">
        <v>1</v>
      </c>
      <c r="I732" t="n">
        <v>0</v>
      </c>
      <c r="J732" t="n">
        <v>0</v>
      </c>
      <c r="K732" t="n">
        <v>0</v>
      </c>
      <c r="L732" t="n">
        <v>0</v>
      </c>
      <c r="M732" t="n">
        <v>0</v>
      </c>
      <c r="N732" t="n">
        <v>0</v>
      </c>
      <c r="O732" t="n">
        <v>0</v>
      </c>
      <c r="P732" t="n">
        <v>0</v>
      </c>
      <c r="Q732" t="n">
        <v>1</v>
      </c>
      <c r="R732" s="2" t="inlineStr">
        <is>
          <t>Fläcknycklar</t>
        </is>
      </c>
      <c r="S732">
        <f>HYPERLINK("https://klasma.github.io/Logging_2021/artfynd/A 45205-2021 artfynd.xlsx", "A 45205-2021")</f>
        <v/>
      </c>
      <c r="T732">
        <f>HYPERLINK("https://klasma.github.io/Logging_2021/kartor/A 45205-2021 karta.png", "A 45205-2021")</f>
        <v/>
      </c>
      <c r="V732">
        <f>HYPERLINK("https://klasma.github.io/Logging_2021/klagomål/A 45205-2021 FSC-klagomål.docx", "A 45205-2021")</f>
        <v/>
      </c>
      <c r="W732">
        <f>HYPERLINK("https://klasma.github.io/Logging_2021/klagomålsmail/A 45205-2021 FSC-klagomål mail.docx", "A 45205-2021")</f>
        <v/>
      </c>
      <c r="X732">
        <f>HYPERLINK("https://klasma.github.io/Logging_2021/tillsyn/A 45205-2021 tillsynsbegäran.docx", "A 45205-2021")</f>
        <v/>
      </c>
      <c r="Y732">
        <f>HYPERLINK("https://klasma.github.io/Logging_2021/tillsynsmail/A 45205-2021 tillsynsbegäran mail.docx", "A 45205-2021")</f>
        <v/>
      </c>
    </row>
    <row r="733" ht="15" customHeight="1">
      <c r="A733" t="inlineStr">
        <is>
          <t>A 45604-2021</t>
        </is>
      </c>
      <c r="B733" s="1" t="n">
        <v>44440</v>
      </c>
      <c r="C733" s="1" t="n">
        <v>45706</v>
      </c>
      <c r="D733" t="inlineStr">
        <is>
          <t>DALARNAS LÄN</t>
        </is>
      </c>
      <c r="E733" t="inlineStr">
        <is>
          <t>AVESTA</t>
        </is>
      </c>
      <c r="G733" t="n">
        <v>3.1</v>
      </c>
      <c r="H733" t="n">
        <v>0</v>
      </c>
      <c r="I733" t="n">
        <v>0</v>
      </c>
      <c r="J733" t="n">
        <v>1</v>
      </c>
      <c r="K733" t="n">
        <v>0</v>
      </c>
      <c r="L733" t="n">
        <v>0</v>
      </c>
      <c r="M733" t="n">
        <v>0</v>
      </c>
      <c r="N733" t="n">
        <v>0</v>
      </c>
      <c r="O733" t="n">
        <v>1</v>
      </c>
      <c r="P733" t="n">
        <v>0</v>
      </c>
      <c r="Q733" t="n">
        <v>1</v>
      </c>
      <c r="R733" s="2" t="inlineStr">
        <is>
          <t>Mindre timmerman</t>
        </is>
      </c>
      <c r="S733">
        <f>HYPERLINK("https://klasma.github.io/Logging_2084/artfynd/A 45604-2021 artfynd.xlsx", "A 45604-2021")</f>
        <v/>
      </c>
      <c r="T733">
        <f>HYPERLINK("https://klasma.github.io/Logging_2084/kartor/A 45604-2021 karta.png", "A 45604-2021")</f>
        <v/>
      </c>
      <c r="V733">
        <f>HYPERLINK("https://klasma.github.io/Logging_2084/klagomål/A 45604-2021 FSC-klagomål.docx", "A 45604-2021")</f>
        <v/>
      </c>
      <c r="W733">
        <f>HYPERLINK("https://klasma.github.io/Logging_2084/klagomålsmail/A 45604-2021 FSC-klagomål mail.docx", "A 45604-2021")</f>
        <v/>
      </c>
      <c r="X733">
        <f>HYPERLINK("https://klasma.github.io/Logging_2084/tillsyn/A 45604-2021 tillsynsbegäran.docx", "A 45604-2021")</f>
        <v/>
      </c>
      <c r="Y733">
        <f>HYPERLINK("https://klasma.github.io/Logging_2084/tillsynsmail/A 45604-2021 tillsynsbegäran mail.docx", "A 45604-2021")</f>
        <v/>
      </c>
    </row>
    <row r="734" ht="15" customHeight="1">
      <c r="A734" t="inlineStr">
        <is>
          <t>A 45995-2021</t>
        </is>
      </c>
      <c r="B734" s="1" t="n">
        <v>44441</v>
      </c>
      <c r="C734" s="1" t="n">
        <v>45706</v>
      </c>
      <c r="D734" t="inlineStr">
        <is>
          <t>DALARNAS LÄN</t>
        </is>
      </c>
      <c r="E734" t="inlineStr">
        <is>
          <t>LUDVIKA</t>
        </is>
      </c>
      <c r="G734" t="n">
        <v>1.2</v>
      </c>
      <c r="H734" t="n">
        <v>1</v>
      </c>
      <c r="I734" t="n">
        <v>0</v>
      </c>
      <c r="J734" t="n">
        <v>1</v>
      </c>
      <c r="K734" t="n">
        <v>0</v>
      </c>
      <c r="L734" t="n">
        <v>0</v>
      </c>
      <c r="M734" t="n">
        <v>0</v>
      </c>
      <c r="N734" t="n">
        <v>0</v>
      </c>
      <c r="O734" t="n">
        <v>1</v>
      </c>
      <c r="P734" t="n">
        <v>0</v>
      </c>
      <c r="Q734" t="n">
        <v>1</v>
      </c>
      <c r="R734" s="2" t="inlineStr">
        <is>
          <t>Nordfladdermus</t>
        </is>
      </c>
      <c r="S734">
        <f>HYPERLINK("https://klasma.github.io/Logging_2085/artfynd/A 45995-2021 artfynd.xlsx", "A 45995-2021")</f>
        <v/>
      </c>
      <c r="T734">
        <f>HYPERLINK("https://klasma.github.io/Logging_2085/kartor/A 45995-2021 karta.png", "A 45995-2021")</f>
        <v/>
      </c>
      <c r="V734">
        <f>HYPERLINK("https://klasma.github.io/Logging_2085/klagomål/A 45995-2021 FSC-klagomål.docx", "A 45995-2021")</f>
        <v/>
      </c>
      <c r="W734">
        <f>HYPERLINK("https://klasma.github.io/Logging_2085/klagomålsmail/A 45995-2021 FSC-klagomål mail.docx", "A 45995-2021")</f>
        <v/>
      </c>
      <c r="X734">
        <f>HYPERLINK("https://klasma.github.io/Logging_2085/tillsyn/A 45995-2021 tillsynsbegäran.docx", "A 45995-2021")</f>
        <v/>
      </c>
      <c r="Y734">
        <f>HYPERLINK("https://klasma.github.io/Logging_2085/tillsynsmail/A 45995-2021 tillsynsbegäran mail.docx", "A 45995-2021")</f>
        <v/>
      </c>
    </row>
    <row r="735" ht="15" customHeight="1">
      <c r="A735" t="inlineStr">
        <is>
          <t>A 49776-2021</t>
        </is>
      </c>
      <c r="B735" s="1" t="n">
        <v>44454</v>
      </c>
      <c r="C735" s="1" t="n">
        <v>45706</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50052-2021</t>
        </is>
      </c>
      <c r="B736" s="1" t="n">
        <v>44456</v>
      </c>
      <c r="C736" s="1" t="n">
        <v>45706</v>
      </c>
      <c r="D736" t="inlineStr">
        <is>
          <t>DALARNAS LÄN</t>
        </is>
      </c>
      <c r="E736" t="inlineStr">
        <is>
          <t>LUDVIKA</t>
        </is>
      </c>
      <c r="F736" t="inlineStr">
        <is>
          <t>Bergvik skog väst AB</t>
        </is>
      </c>
      <c r="G736" t="n">
        <v>2</v>
      </c>
      <c r="H736" t="n">
        <v>1</v>
      </c>
      <c r="I736" t="n">
        <v>0</v>
      </c>
      <c r="J736" t="n">
        <v>0</v>
      </c>
      <c r="K736" t="n">
        <v>0</v>
      </c>
      <c r="L736" t="n">
        <v>0</v>
      </c>
      <c r="M736" t="n">
        <v>0</v>
      </c>
      <c r="N736" t="n">
        <v>0</v>
      </c>
      <c r="O736" t="n">
        <v>0</v>
      </c>
      <c r="P736" t="n">
        <v>0</v>
      </c>
      <c r="Q736" t="n">
        <v>1</v>
      </c>
      <c r="R736" s="2" t="inlineStr">
        <is>
          <t>Buskmus</t>
        </is>
      </c>
      <c r="S736">
        <f>HYPERLINK("https://klasma.github.io/Logging_2085/artfynd/A 50052-2021 artfynd.xlsx", "A 50052-2021")</f>
        <v/>
      </c>
      <c r="T736">
        <f>HYPERLINK("https://klasma.github.io/Logging_2085/kartor/A 50052-2021 karta.png", "A 50052-2021")</f>
        <v/>
      </c>
      <c r="V736">
        <f>HYPERLINK("https://klasma.github.io/Logging_2085/klagomål/A 50052-2021 FSC-klagomål.docx", "A 50052-2021")</f>
        <v/>
      </c>
      <c r="W736">
        <f>HYPERLINK("https://klasma.github.io/Logging_2085/klagomålsmail/A 50052-2021 FSC-klagomål mail.docx", "A 50052-2021")</f>
        <v/>
      </c>
      <c r="X736">
        <f>HYPERLINK("https://klasma.github.io/Logging_2085/tillsyn/A 50052-2021 tillsynsbegäran.docx", "A 50052-2021")</f>
        <v/>
      </c>
      <c r="Y736">
        <f>HYPERLINK("https://klasma.github.io/Logging_2085/tillsynsmail/A 50052-2021 tillsynsbegäran mail.docx", "A 50052-2021")</f>
        <v/>
      </c>
    </row>
    <row r="737" ht="15" customHeight="1">
      <c r="A737" t="inlineStr">
        <is>
          <t>A 50688-2021</t>
        </is>
      </c>
      <c r="B737" s="1" t="n">
        <v>44460</v>
      </c>
      <c r="C737" s="1" t="n">
        <v>45706</v>
      </c>
      <c r="D737" t="inlineStr">
        <is>
          <t>DALARNAS LÄN</t>
        </is>
      </c>
      <c r="E737" t="inlineStr">
        <is>
          <t>VANSBRO</t>
        </is>
      </c>
      <c r="F737" t="inlineStr">
        <is>
          <t>Bergvik skog öst AB</t>
        </is>
      </c>
      <c r="G737" t="n">
        <v>2.3</v>
      </c>
      <c r="H737" t="n">
        <v>0</v>
      </c>
      <c r="I737" t="n">
        <v>0</v>
      </c>
      <c r="J737" t="n">
        <v>0</v>
      </c>
      <c r="K737" t="n">
        <v>1</v>
      </c>
      <c r="L737" t="n">
        <v>0</v>
      </c>
      <c r="M737" t="n">
        <v>0</v>
      </c>
      <c r="N737" t="n">
        <v>0</v>
      </c>
      <c r="O737" t="n">
        <v>1</v>
      </c>
      <c r="P737" t="n">
        <v>1</v>
      </c>
      <c r="Q737" t="n">
        <v>1</v>
      </c>
      <c r="R737" s="2" t="inlineStr">
        <is>
          <t>Rynkskinn</t>
        </is>
      </c>
      <c r="S737">
        <f>HYPERLINK("https://klasma.github.io/Logging_2021/artfynd/A 50688-2021 artfynd.xlsx", "A 50688-2021")</f>
        <v/>
      </c>
      <c r="T737">
        <f>HYPERLINK("https://klasma.github.io/Logging_2021/kartor/A 50688-2021 karta.png", "A 50688-2021")</f>
        <v/>
      </c>
      <c r="V737">
        <f>HYPERLINK("https://klasma.github.io/Logging_2021/klagomål/A 50688-2021 FSC-klagomål.docx", "A 50688-2021")</f>
        <v/>
      </c>
      <c r="W737">
        <f>HYPERLINK("https://klasma.github.io/Logging_2021/klagomålsmail/A 50688-2021 FSC-klagomål mail.docx", "A 50688-2021")</f>
        <v/>
      </c>
      <c r="X737">
        <f>HYPERLINK("https://klasma.github.io/Logging_2021/tillsyn/A 50688-2021 tillsynsbegäran.docx", "A 50688-2021")</f>
        <v/>
      </c>
      <c r="Y737">
        <f>HYPERLINK("https://klasma.github.io/Logging_2021/tillsynsmail/A 50688-2021 tillsynsbegäran mail.docx", "A 50688-2021")</f>
        <v/>
      </c>
    </row>
    <row r="738" ht="15" customHeight="1">
      <c r="A738" t="inlineStr">
        <is>
          <t>A 51111-2021</t>
        </is>
      </c>
      <c r="B738" s="1" t="n">
        <v>44461</v>
      </c>
      <c r="C738" s="1" t="n">
        <v>45706</v>
      </c>
      <c r="D738" t="inlineStr">
        <is>
          <t>DALARNAS LÄN</t>
        </is>
      </c>
      <c r="E738" t="inlineStr">
        <is>
          <t>HEDEMORA</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HYPERLINK("https://klasma.github.io/Logging_2083/artfynd/A 51111-2021 artfynd.xlsx", "A 51111-2021")</f>
        <v/>
      </c>
      <c r="T738">
        <f>HYPERLINK("https://klasma.github.io/Logging_2083/kartor/A 51111-2021 karta.png", "A 51111-2021")</f>
        <v/>
      </c>
      <c r="U738">
        <f>HYPERLINK("https://klasma.github.io/Logging_2083/knärot/A 51111-2021 karta knärot.png", "A 51111-2021")</f>
        <v/>
      </c>
      <c r="V738">
        <f>HYPERLINK("https://klasma.github.io/Logging_2083/klagomål/A 51111-2021 FSC-klagomål.docx", "A 51111-2021")</f>
        <v/>
      </c>
      <c r="W738">
        <f>HYPERLINK("https://klasma.github.io/Logging_2083/klagomålsmail/A 51111-2021 FSC-klagomål mail.docx", "A 51111-2021")</f>
        <v/>
      </c>
      <c r="X738">
        <f>HYPERLINK("https://klasma.github.io/Logging_2083/tillsyn/A 51111-2021 tillsynsbegäran.docx", "A 51111-2021")</f>
        <v/>
      </c>
      <c r="Y738">
        <f>HYPERLINK("https://klasma.github.io/Logging_2083/tillsynsmail/A 51111-2021 tillsynsbegäran mail.docx", "A 51111-2021")</f>
        <v/>
      </c>
    </row>
    <row r="739" ht="15" customHeight="1">
      <c r="A739" t="inlineStr">
        <is>
          <t>A 51579-2021</t>
        </is>
      </c>
      <c r="B739" s="1" t="n">
        <v>44462</v>
      </c>
      <c r="C739" s="1" t="n">
        <v>45706</v>
      </c>
      <c r="D739" t="inlineStr">
        <is>
          <t>DALARNAS LÄN</t>
        </is>
      </c>
      <c r="E739" t="inlineStr">
        <is>
          <t>VANSBRO</t>
        </is>
      </c>
      <c r="F739" t="inlineStr">
        <is>
          <t>Bergvik skog väst AB</t>
        </is>
      </c>
      <c r="G739" t="n">
        <v>14.3</v>
      </c>
      <c r="H739" t="n">
        <v>0</v>
      </c>
      <c r="I739" t="n">
        <v>0</v>
      </c>
      <c r="J739" t="n">
        <v>1</v>
      </c>
      <c r="K739" t="n">
        <v>0</v>
      </c>
      <c r="L739" t="n">
        <v>0</v>
      </c>
      <c r="M739" t="n">
        <v>0</v>
      </c>
      <c r="N739" t="n">
        <v>0</v>
      </c>
      <c r="O739" t="n">
        <v>1</v>
      </c>
      <c r="P739" t="n">
        <v>0</v>
      </c>
      <c r="Q739" t="n">
        <v>1</v>
      </c>
      <c r="R739" s="2" t="inlineStr">
        <is>
          <t>Kolflarnlav</t>
        </is>
      </c>
      <c r="S739">
        <f>HYPERLINK("https://klasma.github.io/Logging_2021/artfynd/A 51579-2021 artfynd.xlsx", "A 51579-2021")</f>
        <v/>
      </c>
      <c r="T739">
        <f>HYPERLINK("https://klasma.github.io/Logging_2021/kartor/A 51579-2021 karta.png", "A 51579-2021")</f>
        <v/>
      </c>
      <c r="V739">
        <f>HYPERLINK("https://klasma.github.io/Logging_2021/klagomål/A 51579-2021 FSC-klagomål.docx", "A 51579-2021")</f>
        <v/>
      </c>
      <c r="W739">
        <f>HYPERLINK("https://klasma.github.io/Logging_2021/klagomålsmail/A 51579-2021 FSC-klagomål mail.docx", "A 51579-2021")</f>
        <v/>
      </c>
      <c r="X739">
        <f>HYPERLINK("https://klasma.github.io/Logging_2021/tillsyn/A 51579-2021 tillsynsbegäran.docx", "A 51579-2021")</f>
        <v/>
      </c>
      <c r="Y739">
        <f>HYPERLINK("https://klasma.github.io/Logging_2021/tillsynsmail/A 51579-2021 tillsynsbegäran mail.docx", "A 51579-2021")</f>
        <v/>
      </c>
    </row>
    <row r="740" ht="15" customHeight="1">
      <c r="A740" t="inlineStr">
        <is>
          <t>A 52205-2021</t>
        </is>
      </c>
      <c r="B740" s="1" t="n">
        <v>44462</v>
      </c>
      <c r="C740" s="1" t="n">
        <v>45706</v>
      </c>
      <c r="D740" t="inlineStr">
        <is>
          <t>DALARNAS LÄN</t>
        </is>
      </c>
      <c r="E740" t="inlineStr">
        <is>
          <t>SÄTER</t>
        </is>
      </c>
      <c r="F740" t="inlineStr">
        <is>
          <t>Bergvik skog väst AB</t>
        </is>
      </c>
      <c r="G740" t="n">
        <v>8.6</v>
      </c>
      <c r="H740" t="n">
        <v>0</v>
      </c>
      <c r="I740" t="n">
        <v>0</v>
      </c>
      <c r="J740" t="n">
        <v>1</v>
      </c>
      <c r="K740" t="n">
        <v>0</v>
      </c>
      <c r="L740" t="n">
        <v>0</v>
      </c>
      <c r="M740" t="n">
        <v>0</v>
      </c>
      <c r="N740" t="n">
        <v>0</v>
      </c>
      <c r="O740" t="n">
        <v>1</v>
      </c>
      <c r="P740" t="n">
        <v>0</v>
      </c>
      <c r="Q740" t="n">
        <v>1</v>
      </c>
      <c r="R740" s="2" t="inlineStr">
        <is>
          <t>Klasefibbla</t>
        </is>
      </c>
      <c r="S740">
        <f>HYPERLINK("https://klasma.github.io/Logging_2082/artfynd/A 52205-2021 artfynd.xlsx", "A 52205-2021")</f>
        <v/>
      </c>
      <c r="T740">
        <f>HYPERLINK("https://klasma.github.io/Logging_2082/kartor/A 52205-2021 karta.png", "A 52205-2021")</f>
        <v/>
      </c>
      <c r="V740">
        <f>HYPERLINK("https://klasma.github.io/Logging_2082/klagomål/A 52205-2021 FSC-klagomål.docx", "A 52205-2021")</f>
        <v/>
      </c>
      <c r="W740">
        <f>HYPERLINK("https://klasma.github.io/Logging_2082/klagomålsmail/A 52205-2021 FSC-klagomål mail.docx", "A 52205-2021")</f>
        <v/>
      </c>
      <c r="X740">
        <f>HYPERLINK("https://klasma.github.io/Logging_2082/tillsyn/A 52205-2021 tillsynsbegäran.docx", "A 52205-2021")</f>
        <v/>
      </c>
      <c r="Y740">
        <f>HYPERLINK("https://klasma.github.io/Logging_2082/tillsynsmail/A 52205-2021 tillsynsbegäran mail.docx", "A 52205-2021")</f>
        <v/>
      </c>
    </row>
    <row r="741" ht="15" customHeight="1">
      <c r="A741" t="inlineStr">
        <is>
          <t>A 52669-2021</t>
        </is>
      </c>
      <c r="B741" s="1" t="n">
        <v>44464</v>
      </c>
      <c r="C741" s="1" t="n">
        <v>45706</v>
      </c>
      <c r="D741" t="inlineStr">
        <is>
          <t>DALARNAS LÄN</t>
        </is>
      </c>
      <c r="E741" t="inlineStr">
        <is>
          <t>MALUNG-SÄLEN</t>
        </is>
      </c>
      <c r="G741" t="n">
        <v>0.2</v>
      </c>
      <c r="H741" t="n">
        <v>0</v>
      </c>
      <c r="I741" t="n">
        <v>0</v>
      </c>
      <c r="J741" t="n">
        <v>1</v>
      </c>
      <c r="K741" t="n">
        <v>0</v>
      </c>
      <c r="L741" t="n">
        <v>0</v>
      </c>
      <c r="M741" t="n">
        <v>0</v>
      </c>
      <c r="N741" t="n">
        <v>0</v>
      </c>
      <c r="O741" t="n">
        <v>1</v>
      </c>
      <c r="P741" t="n">
        <v>0</v>
      </c>
      <c r="Q741" t="n">
        <v>1</v>
      </c>
      <c r="R741" s="2" t="inlineStr">
        <is>
          <t>Garnlav</t>
        </is>
      </c>
      <c r="S741">
        <f>HYPERLINK("https://klasma.github.io/Logging_2023/artfynd/A 52669-2021 artfynd.xlsx", "A 52669-2021")</f>
        <v/>
      </c>
      <c r="T741">
        <f>HYPERLINK("https://klasma.github.io/Logging_2023/kartor/A 52669-2021 karta.png", "A 52669-2021")</f>
        <v/>
      </c>
      <c r="V741">
        <f>HYPERLINK("https://klasma.github.io/Logging_2023/klagomål/A 52669-2021 FSC-klagomål.docx", "A 52669-2021")</f>
        <v/>
      </c>
      <c r="W741">
        <f>HYPERLINK("https://klasma.github.io/Logging_2023/klagomålsmail/A 52669-2021 FSC-klagomål mail.docx", "A 52669-2021")</f>
        <v/>
      </c>
      <c r="X741">
        <f>HYPERLINK("https://klasma.github.io/Logging_2023/tillsyn/A 52669-2021 tillsynsbegäran.docx", "A 52669-2021")</f>
        <v/>
      </c>
      <c r="Y741">
        <f>HYPERLINK("https://klasma.github.io/Logging_2023/tillsynsmail/A 52669-2021 tillsynsbegäran mail.docx", "A 52669-2021")</f>
        <v/>
      </c>
    </row>
    <row r="742" ht="15" customHeight="1">
      <c r="A742" t="inlineStr">
        <is>
          <t>A 53580-2021</t>
        </is>
      </c>
      <c r="B742" s="1" t="n">
        <v>44469</v>
      </c>
      <c r="C742" s="1" t="n">
        <v>45706</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54045-2021</t>
        </is>
      </c>
      <c r="B743" s="1" t="n">
        <v>44470</v>
      </c>
      <c r="C743" s="1" t="n">
        <v>45706</v>
      </c>
      <c r="D743" t="inlineStr">
        <is>
          <t>DALARNAS LÄN</t>
        </is>
      </c>
      <c r="E743" t="inlineStr">
        <is>
          <t>BORLÄNGE</t>
        </is>
      </c>
      <c r="G743" t="n">
        <v>1.3</v>
      </c>
      <c r="H743" t="n">
        <v>1</v>
      </c>
      <c r="I743" t="n">
        <v>0</v>
      </c>
      <c r="J743" t="n">
        <v>0</v>
      </c>
      <c r="K743" t="n">
        <v>0</v>
      </c>
      <c r="L743" t="n">
        <v>0</v>
      </c>
      <c r="M743" t="n">
        <v>0</v>
      </c>
      <c r="N743" t="n">
        <v>0</v>
      </c>
      <c r="O743" t="n">
        <v>0</v>
      </c>
      <c r="P743" t="n">
        <v>0</v>
      </c>
      <c r="Q743" t="n">
        <v>1</v>
      </c>
      <c r="R743" s="2" t="inlineStr">
        <is>
          <t>Fläcknycklar</t>
        </is>
      </c>
      <c r="S743">
        <f>HYPERLINK("https://klasma.github.io/Logging_2081/artfynd/A 54045-2021 artfynd.xlsx", "A 54045-2021")</f>
        <v/>
      </c>
      <c r="T743">
        <f>HYPERLINK("https://klasma.github.io/Logging_2081/kartor/A 54045-2021 karta.png", "A 54045-2021")</f>
        <v/>
      </c>
      <c r="V743">
        <f>HYPERLINK("https://klasma.github.io/Logging_2081/klagomål/A 54045-2021 FSC-klagomål.docx", "A 54045-2021")</f>
        <v/>
      </c>
      <c r="W743">
        <f>HYPERLINK("https://klasma.github.io/Logging_2081/klagomålsmail/A 54045-2021 FSC-klagomål mail.docx", "A 54045-2021")</f>
        <v/>
      </c>
      <c r="X743">
        <f>HYPERLINK("https://klasma.github.io/Logging_2081/tillsyn/A 54045-2021 tillsynsbegäran.docx", "A 54045-2021")</f>
        <v/>
      </c>
      <c r="Y743">
        <f>HYPERLINK("https://klasma.github.io/Logging_2081/tillsynsmail/A 54045-2021 tillsynsbegäran mail.docx", "A 54045-2021")</f>
        <v/>
      </c>
    </row>
    <row r="744" ht="15" customHeight="1">
      <c r="A744" t="inlineStr">
        <is>
          <t>A 54173-2021</t>
        </is>
      </c>
      <c r="B744" s="1" t="n">
        <v>44470</v>
      </c>
      <c r="C744" s="1" t="n">
        <v>45706</v>
      </c>
      <c r="D744" t="inlineStr">
        <is>
          <t>DALARNAS LÄN</t>
        </is>
      </c>
      <c r="E744" t="inlineStr">
        <is>
          <t>RÄTTVIK</t>
        </is>
      </c>
      <c r="F744" t="inlineStr">
        <is>
          <t>Sveaskog</t>
        </is>
      </c>
      <c r="G744" t="n">
        <v>1.7</v>
      </c>
      <c r="H744" t="n">
        <v>0</v>
      </c>
      <c r="I744" t="n">
        <v>1</v>
      </c>
      <c r="J744" t="n">
        <v>0</v>
      </c>
      <c r="K744" t="n">
        <v>0</v>
      </c>
      <c r="L744" t="n">
        <v>0</v>
      </c>
      <c r="M744" t="n">
        <v>0</v>
      </c>
      <c r="N744" t="n">
        <v>0</v>
      </c>
      <c r="O744" t="n">
        <v>0</v>
      </c>
      <c r="P744" t="n">
        <v>0</v>
      </c>
      <c r="Q744" t="n">
        <v>1</v>
      </c>
      <c r="R744" s="2" t="inlineStr">
        <is>
          <t>Dropptaggsvamp</t>
        </is>
      </c>
      <c r="S744">
        <f>HYPERLINK("https://klasma.github.io/Logging_2031/artfynd/A 54173-2021 artfynd.xlsx", "A 54173-2021")</f>
        <v/>
      </c>
      <c r="T744">
        <f>HYPERLINK("https://klasma.github.io/Logging_2031/kartor/A 54173-2021 karta.png", "A 54173-2021")</f>
        <v/>
      </c>
      <c r="V744">
        <f>HYPERLINK("https://klasma.github.io/Logging_2031/klagomål/A 54173-2021 FSC-klagomål.docx", "A 54173-2021")</f>
        <v/>
      </c>
      <c r="W744">
        <f>HYPERLINK("https://klasma.github.io/Logging_2031/klagomålsmail/A 54173-2021 FSC-klagomål mail.docx", "A 54173-2021")</f>
        <v/>
      </c>
      <c r="X744">
        <f>HYPERLINK("https://klasma.github.io/Logging_2031/tillsyn/A 54173-2021 tillsynsbegäran.docx", "A 54173-2021")</f>
        <v/>
      </c>
      <c r="Y744">
        <f>HYPERLINK("https://klasma.github.io/Logging_2031/tillsynsmail/A 54173-2021 tillsynsbegäran mail.docx", "A 54173-2021")</f>
        <v/>
      </c>
    </row>
    <row r="745" ht="15" customHeight="1">
      <c r="A745" t="inlineStr">
        <is>
          <t>A 54699-2021</t>
        </is>
      </c>
      <c r="B745" s="1" t="n">
        <v>44473</v>
      </c>
      <c r="C745" s="1" t="n">
        <v>45706</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60707-2021</t>
        </is>
      </c>
      <c r="B746" s="1" t="n">
        <v>44496</v>
      </c>
      <c r="C746" s="1" t="n">
        <v>45706</v>
      </c>
      <c r="D746" t="inlineStr">
        <is>
          <t>DALARNAS LÄN</t>
        </is>
      </c>
      <c r="E746" t="inlineStr">
        <is>
          <t>RÄTTVIK</t>
        </is>
      </c>
      <c r="F746" t="inlineStr">
        <is>
          <t>Sveaskog</t>
        </is>
      </c>
      <c r="G746" t="n">
        <v>7.2</v>
      </c>
      <c r="H746" t="n">
        <v>0</v>
      </c>
      <c r="I746" t="n">
        <v>1</v>
      </c>
      <c r="J746" t="n">
        <v>0</v>
      </c>
      <c r="K746" t="n">
        <v>0</v>
      </c>
      <c r="L746" t="n">
        <v>0</v>
      </c>
      <c r="M746" t="n">
        <v>0</v>
      </c>
      <c r="N746" t="n">
        <v>0</v>
      </c>
      <c r="O746" t="n">
        <v>0</v>
      </c>
      <c r="P746" t="n">
        <v>0</v>
      </c>
      <c r="Q746" t="n">
        <v>1</v>
      </c>
      <c r="R746" s="2" t="inlineStr">
        <is>
          <t>Tallfingersvamp</t>
        </is>
      </c>
      <c r="S746">
        <f>HYPERLINK("https://klasma.github.io/Logging_2031/artfynd/A 60707-2021 artfynd.xlsx", "A 60707-2021")</f>
        <v/>
      </c>
      <c r="T746">
        <f>HYPERLINK("https://klasma.github.io/Logging_2031/kartor/A 60707-2021 karta.png", "A 60707-2021")</f>
        <v/>
      </c>
      <c r="V746">
        <f>HYPERLINK("https://klasma.github.io/Logging_2031/klagomål/A 60707-2021 FSC-klagomål.docx", "A 60707-2021")</f>
        <v/>
      </c>
      <c r="W746">
        <f>HYPERLINK("https://klasma.github.io/Logging_2031/klagomålsmail/A 60707-2021 FSC-klagomål mail.docx", "A 60707-2021")</f>
        <v/>
      </c>
      <c r="X746">
        <f>HYPERLINK("https://klasma.github.io/Logging_2031/tillsyn/A 60707-2021 tillsynsbegäran.docx", "A 60707-2021")</f>
        <v/>
      </c>
      <c r="Y746">
        <f>HYPERLINK("https://klasma.github.io/Logging_2031/tillsynsmail/A 60707-2021 tillsynsbegäran mail.docx", "A 60707-2021")</f>
        <v/>
      </c>
    </row>
    <row r="747" ht="15" customHeight="1">
      <c r="A747" t="inlineStr">
        <is>
          <t>A 60419-2021</t>
        </is>
      </c>
      <c r="B747" s="1" t="n">
        <v>44496</v>
      </c>
      <c r="C747" s="1" t="n">
        <v>45706</v>
      </c>
      <c r="D747" t="inlineStr">
        <is>
          <t>DALARNAS LÄN</t>
        </is>
      </c>
      <c r="E747" t="inlineStr">
        <is>
          <t>ÄLVDALEN</t>
        </is>
      </c>
      <c r="F747" t="inlineStr">
        <is>
          <t>Sveaskog</t>
        </is>
      </c>
      <c r="G747" t="n">
        <v>9.1</v>
      </c>
      <c r="H747" t="n">
        <v>0</v>
      </c>
      <c r="I747" t="n">
        <v>1</v>
      </c>
      <c r="J747" t="n">
        <v>0</v>
      </c>
      <c r="K747" t="n">
        <v>0</v>
      </c>
      <c r="L747" t="n">
        <v>0</v>
      </c>
      <c r="M747" t="n">
        <v>0</v>
      </c>
      <c r="N747" t="n">
        <v>0</v>
      </c>
      <c r="O747" t="n">
        <v>0</v>
      </c>
      <c r="P747" t="n">
        <v>0</v>
      </c>
      <c r="Q747" t="n">
        <v>1</v>
      </c>
      <c r="R747" s="2" t="inlineStr">
        <is>
          <t>Dropptaggsvamp</t>
        </is>
      </c>
      <c r="S747">
        <f>HYPERLINK("https://klasma.github.io/Logging_2039/artfynd/A 60419-2021 artfynd.xlsx", "A 60419-2021")</f>
        <v/>
      </c>
      <c r="T747">
        <f>HYPERLINK("https://klasma.github.io/Logging_2039/kartor/A 60419-2021 karta.png", "A 60419-2021")</f>
        <v/>
      </c>
      <c r="V747">
        <f>HYPERLINK("https://klasma.github.io/Logging_2039/klagomål/A 60419-2021 FSC-klagomål.docx", "A 60419-2021")</f>
        <v/>
      </c>
      <c r="W747">
        <f>HYPERLINK("https://klasma.github.io/Logging_2039/klagomålsmail/A 60419-2021 FSC-klagomål mail.docx", "A 60419-2021")</f>
        <v/>
      </c>
      <c r="X747">
        <f>HYPERLINK("https://klasma.github.io/Logging_2039/tillsyn/A 60419-2021 tillsynsbegäran.docx", "A 60419-2021")</f>
        <v/>
      </c>
      <c r="Y747">
        <f>HYPERLINK("https://klasma.github.io/Logging_2039/tillsynsmail/A 60419-2021 tillsynsbegäran mail.docx", "A 60419-2021")</f>
        <v/>
      </c>
    </row>
    <row r="748" ht="15" customHeight="1">
      <c r="A748" t="inlineStr">
        <is>
          <t>A 64451-2021</t>
        </is>
      </c>
      <c r="B748" s="1" t="n">
        <v>44511</v>
      </c>
      <c r="C748" s="1" t="n">
        <v>45706</v>
      </c>
      <c r="D748" t="inlineStr">
        <is>
          <t>DALARNAS LÄN</t>
        </is>
      </c>
      <c r="E748" t="inlineStr">
        <is>
          <t>RÄTTVIK</t>
        </is>
      </c>
      <c r="G748" t="n">
        <v>1.3</v>
      </c>
      <c r="H748" t="n">
        <v>0</v>
      </c>
      <c r="I748" t="n">
        <v>0</v>
      </c>
      <c r="J748" t="n">
        <v>1</v>
      </c>
      <c r="K748" t="n">
        <v>0</v>
      </c>
      <c r="L748" t="n">
        <v>0</v>
      </c>
      <c r="M748" t="n">
        <v>0</v>
      </c>
      <c r="N748" t="n">
        <v>0</v>
      </c>
      <c r="O748" t="n">
        <v>1</v>
      </c>
      <c r="P748" t="n">
        <v>0</v>
      </c>
      <c r="Q748" t="n">
        <v>1</v>
      </c>
      <c r="R748" s="2" t="inlineStr">
        <is>
          <t>Kandelabersvamp</t>
        </is>
      </c>
      <c r="S748">
        <f>HYPERLINK("https://klasma.github.io/Logging_2031/artfynd/A 64451-2021 artfynd.xlsx", "A 64451-2021")</f>
        <v/>
      </c>
      <c r="T748">
        <f>HYPERLINK("https://klasma.github.io/Logging_2031/kartor/A 64451-2021 karta.png", "A 64451-2021")</f>
        <v/>
      </c>
      <c r="V748">
        <f>HYPERLINK("https://klasma.github.io/Logging_2031/klagomål/A 64451-2021 FSC-klagomål.docx", "A 64451-2021")</f>
        <v/>
      </c>
      <c r="W748">
        <f>HYPERLINK("https://klasma.github.io/Logging_2031/klagomålsmail/A 64451-2021 FSC-klagomål mail.docx", "A 64451-2021")</f>
        <v/>
      </c>
      <c r="X748">
        <f>HYPERLINK("https://klasma.github.io/Logging_2031/tillsyn/A 64451-2021 tillsynsbegäran.docx", "A 64451-2021")</f>
        <v/>
      </c>
      <c r="Y748">
        <f>HYPERLINK("https://klasma.github.io/Logging_2031/tillsynsmail/A 64451-2021 tillsynsbegäran mail.docx", "A 64451-2021")</f>
        <v/>
      </c>
    </row>
    <row r="749" ht="15" customHeight="1">
      <c r="A749" t="inlineStr">
        <is>
          <t>A 64510-2021</t>
        </is>
      </c>
      <c r="B749" s="1" t="n">
        <v>44511</v>
      </c>
      <c r="C749" s="1" t="n">
        <v>45706</v>
      </c>
      <c r="D749" t="inlineStr">
        <is>
          <t>DALARNAS LÄN</t>
        </is>
      </c>
      <c r="E749" t="inlineStr">
        <is>
          <t>GAGNEF</t>
        </is>
      </c>
      <c r="G749" t="n">
        <v>2.7</v>
      </c>
      <c r="H749" t="n">
        <v>0</v>
      </c>
      <c r="I749" t="n">
        <v>0</v>
      </c>
      <c r="J749" t="n">
        <v>1</v>
      </c>
      <c r="K749" t="n">
        <v>0</v>
      </c>
      <c r="L749" t="n">
        <v>0</v>
      </c>
      <c r="M749" t="n">
        <v>0</v>
      </c>
      <c r="N749" t="n">
        <v>0</v>
      </c>
      <c r="O749" t="n">
        <v>1</v>
      </c>
      <c r="P749" t="n">
        <v>0</v>
      </c>
      <c r="Q749" t="n">
        <v>1</v>
      </c>
      <c r="R749" s="2" t="inlineStr">
        <is>
          <t>Grönhjon</t>
        </is>
      </c>
      <c r="S749">
        <f>HYPERLINK("https://klasma.github.io/Logging_2026/artfynd/A 64510-2021 artfynd.xlsx", "A 64510-2021")</f>
        <v/>
      </c>
      <c r="T749">
        <f>HYPERLINK("https://klasma.github.io/Logging_2026/kartor/A 64510-2021 karta.png", "A 64510-2021")</f>
        <v/>
      </c>
      <c r="V749">
        <f>HYPERLINK("https://klasma.github.io/Logging_2026/klagomål/A 64510-2021 FSC-klagomål.docx", "A 64510-2021")</f>
        <v/>
      </c>
      <c r="W749">
        <f>HYPERLINK("https://klasma.github.io/Logging_2026/klagomålsmail/A 64510-2021 FSC-klagomål mail.docx", "A 64510-2021")</f>
        <v/>
      </c>
      <c r="X749">
        <f>HYPERLINK("https://klasma.github.io/Logging_2026/tillsyn/A 64510-2021 tillsynsbegäran.docx", "A 64510-2021")</f>
        <v/>
      </c>
      <c r="Y749">
        <f>HYPERLINK("https://klasma.github.io/Logging_2026/tillsynsmail/A 64510-2021 tillsynsbegäran mail.docx", "A 64510-2021")</f>
        <v/>
      </c>
    </row>
    <row r="750" ht="15" customHeight="1">
      <c r="A750" t="inlineStr">
        <is>
          <t>A 65500-2021</t>
        </is>
      </c>
      <c r="B750" s="1" t="n">
        <v>44516</v>
      </c>
      <c r="C750" s="1" t="n">
        <v>45706</v>
      </c>
      <c r="D750" t="inlineStr">
        <is>
          <t>DALARNAS LÄN</t>
        </is>
      </c>
      <c r="E750" t="inlineStr">
        <is>
          <t>ÄLVDALEN</t>
        </is>
      </c>
      <c r="F750" t="inlineStr">
        <is>
          <t>Sveaskog</t>
        </is>
      </c>
      <c r="G750" t="n">
        <v>10.4</v>
      </c>
      <c r="H750" t="n">
        <v>1</v>
      </c>
      <c r="I750" t="n">
        <v>0</v>
      </c>
      <c r="J750" t="n">
        <v>1</v>
      </c>
      <c r="K750" t="n">
        <v>0</v>
      </c>
      <c r="L750" t="n">
        <v>0</v>
      </c>
      <c r="M750" t="n">
        <v>0</v>
      </c>
      <c r="N750" t="n">
        <v>0</v>
      </c>
      <c r="O750" t="n">
        <v>1</v>
      </c>
      <c r="P750" t="n">
        <v>0</v>
      </c>
      <c r="Q750" t="n">
        <v>1</v>
      </c>
      <c r="R750" s="2" t="inlineStr">
        <is>
          <t>Varglav</t>
        </is>
      </c>
      <c r="S750">
        <f>HYPERLINK("https://klasma.github.io/Logging_2039/artfynd/A 65500-2021 artfynd.xlsx", "A 65500-2021")</f>
        <v/>
      </c>
      <c r="T750">
        <f>HYPERLINK("https://klasma.github.io/Logging_2039/kartor/A 65500-2021 karta.png", "A 65500-2021")</f>
        <v/>
      </c>
      <c r="V750">
        <f>HYPERLINK("https://klasma.github.io/Logging_2039/klagomål/A 65500-2021 FSC-klagomål.docx", "A 65500-2021")</f>
        <v/>
      </c>
      <c r="W750">
        <f>HYPERLINK("https://klasma.github.io/Logging_2039/klagomålsmail/A 65500-2021 FSC-klagomål mail.docx", "A 65500-2021")</f>
        <v/>
      </c>
      <c r="X750">
        <f>HYPERLINK("https://klasma.github.io/Logging_2039/tillsyn/A 65500-2021 tillsynsbegäran.docx", "A 65500-2021")</f>
        <v/>
      </c>
      <c r="Y750">
        <f>HYPERLINK("https://klasma.github.io/Logging_2039/tillsynsmail/A 65500-2021 tillsynsbegäran mail.docx", "A 65500-2021")</f>
        <v/>
      </c>
    </row>
    <row r="751" ht="15" customHeight="1">
      <c r="A751" t="inlineStr">
        <is>
          <t>A 68448-2021</t>
        </is>
      </c>
      <c r="B751" s="1" t="n">
        <v>44529</v>
      </c>
      <c r="C751" s="1" t="n">
        <v>45706</v>
      </c>
      <c r="D751" t="inlineStr">
        <is>
          <t>DALARNAS LÄN</t>
        </is>
      </c>
      <c r="E751" t="inlineStr">
        <is>
          <t>SÄTER</t>
        </is>
      </c>
      <c r="G751" t="n">
        <v>1.4</v>
      </c>
      <c r="H751" t="n">
        <v>1</v>
      </c>
      <c r="I751" t="n">
        <v>0</v>
      </c>
      <c r="J751" t="n">
        <v>0</v>
      </c>
      <c r="K751" t="n">
        <v>1</v>
      </c>
      <c r="L751" t="n">
        <v>0</v>
      </c>
      <c r="M751" t="n">
        <v>0</v>
      </c>
      <c r="N751" t="n">
        <v>0</v>
      </c>
      <c r="O751" t="n">
        <v>1</v>
      </c>
      <c r="P751" t="n">
        <v>1</v>
      </c>
      <c r="Q751" t="n">
        <v>1</v>
      </c>
      <c r="R751" s="2" t="inlineStr">
        <is>
          <t>Knärot</t>
        </is>
      </c>
      <c r="S751">
        <f>HYPERLINK("https://klasma.github.io/Logging_2082/artfynd/A 68448-2021 artfynd.xlsx", "A 68448-2021")</f>
        <v/>
      </c>
      <c r="T751">
        <f>HYPERLINK("https://klasma.github.io/Logging_2082/kartor/A 68448-2021 karta.png", "A 68448-2021")</f>
        <v/>
      </c>
      <c r="U751">
        <f>HYPERLINK("https://klasma.github.io/Logging_2082/knärot/A 68448-2021 karta knärot.png", "A 68448-2021")</f>
        <v/>
      </c>
      <c r="V751">
        <f>HYPERLINK("https://klasma.github.io/Logging_2082/klagomål/A 68448-2021 FSC-klagomål.docx", "A 68448-2021")</f>
        <v/>
      </c>
      <c r="W751">
        <f>HYPERLINK("https://klasma.github.io/Logging_2082/klagomålsmail/A 68448-2021 FSC-klagomål mail.docx", "A 68448-2021")</f>
        <v/>
      </c>
      <c r="X751">
        <f>HYPERLINK("https://klasma.github.io/Logging_2082/tillsyn/A 68448-2021 tillsynsbegäran.docx", "A 68448-2021")</f>
        <v/>
      </c>
      <c r="Y751">
        <f>HYPERLINK("https://klasma.github.io/Logging_2082/tillsynsmail/A 68448-2021 tillsynsbegäran mail.docx", "A 68448-2021")</f>
        <v/>
      </c>
    </row>
    <row r="752" ht="15" customHeight="1">
      <c r="A752" t="inlineStr">
        <is>
          <t>A 68557-2021</t>
        </is>
      </c>
      <c r="B752" s="1" t="n">
        <v>44529</v>
      </c>
      <c r="C752" s="1" t="n">
        <v>45706</v>
      </c>
      <c r="D752" t="inlineStr">
        <is>
          <t>DALARNAS LÄN</t>
        </is>
      </c>
      <c r="E752" t="inlineStr">
        <is>
          <t>FALUN</t>
        </is>
      </c>
      <c r="G752" t="n">
        <v>9.5</v>
      </c>
      <c r="H752" t="n">
        <v>0</v>
      </c>
      <c r="I752" t="n">
        <v>0</v>
      </c>
      <c r="J752" t="n">
        <v>1</v>
      </c>
      <c r="K752" t="n">
        <v>0</v>
      </c>
      <c r="L752" t="n">
        <v>0</v>
      </c>
      <c r="M752" t="n">
        <v>0</v>
      </c>
      <c r="N752" t="n">
        <v>0</v>
      </c>
      <c r="O752" t="n">
        <v>1</v>
      </c>
      <c r="P752" t="n">
        <v>0</v>
      </c>
      <c r="Q752" t="n">
        <v>1</v>
      </c>
      <c r="R752" s="2" t="inlineStr">
        <is>
          <t>Skrovellav</t>
        </is>
      </c>
      <c r="S752">
        <f>HYPERLINK("https://klasma.github.io/Logging_2080/artfynd/A 68557-2021 artfynd.xlsx", "A 68557-2021")</f>
        <v/>
      </c>
      <c r="T752">
        <f>HYPERLINK("https://klasma.github.io/Logging_2080/kartor/A 68557-2021 karta.png", "A 68557-2021")</f>
        <v/>
      </c>
      <c r="V752">
        <f>HYPERLINK("https://klasma.github.io/Logging_2080/klagomål/A 68557-2021 FSC-klagomål.docx", "A 68557-2021")</f>
        <v/>
      </c>
      <c r="W752">
        <f>HYPERLINK("https://klasma.github.io/Logging_2080/klagomålsmail/A 68557-2021 FSC-klagomål mail.docx", "A 68557-2021")</f>
        <v/>
      </c>
      <c r="X752">
        <f>HYPERLINK("https://klasma.github.io/Logging_2080/tillsyn/A 68557-2021 tillsynsbegäran.docx", "A 68557-2021")</f>
        <v/>
      </c>
      <c r="Y752">
        <f>HYPERLINK("https://klasma.github.io/Logging_2080/tillsynsmail/A 68557-2021 tillsynsbegäran mail.docx", "A 68557-2021")</f>
        <v/>
      </c>
    </row>
    <row r="753" ht="15" customHeight="1">
      <c r="A753" t="inlineStr">
        <is>
          <t>A 71652-2021</t>
        </is>
      </c>
      <c r="B753" s="1" t="n">
        <v>44543</v>
      </c>
      <c r="C753" s="1" t="n">
        <v>45706</v>
      </c>
      <c r="D753" t="inlineStr">
        <is>
          <t>DALARNAS LÄN</t>
        </is>
      </c>
      <c r="E753" t="inlineStr">
        <is>
          <t>ÄLVDALEN</t>
        </is>
      </c>
      <c r="G753" t="n">
        <v>4.3</v>
      </c>
      <c r="H753" t="n">
        <v>1</v>
      </c>
      <c r="I753" t="n">
        <v>0</v>
      </c>
      <c r="J753" t="n">
        <v>1</v>
      </c>
      <c r="K753" t="n">
        <v>0</v>
      </c>
      <c r="L753" t="n">
        <v>0</v>
      </c>
      <c r="M753" t="n">
        <v>0</v>
      </c>
      <c r="N753" t="n">
        <v>0</v>
      </c>
      <c r="O753" t="n">
        <v>1</v>
      </c>
      <c r="P753" t="n">
        <v>0</v>
      </c>
      <c r="Q753" t="n">
        <v>1</v>
      </c>
      <c r="R753" s="2" t="inlineStr">
        <is>
          <t>Tretåig hackspett</t>
        </is>
      </c>
      <c r="S753">
        <f>HYPERLINK("https://klasma.github.io/Logging_2039/artfynd/A 71652-2021 artfynd.xlsx", "A 71652-2021")</f>
        <v/>
      </c>
      <c r="T753">
        <f>HYPERLINK("https://klasma.github.io/Logging_2039/kartor/A 71652-2021 karta.png", "A 71652-2021")</f>
        <v/>
      </c>
      <c r="V753">
        <f>HYPERLINK("https://klasma.github.io/Logging_2039/klagomål/A 71652-2021 FSC-klagomål.docx", "A 71652-2021")</f>
        <v/>
      </c>
      <c r="W753">
        <f>HYPERLINK("https://klasma.github.io/Logging_2039/klagomålsmail/A 71652-2021 FSC-klagomål mail.docx", "A 71652-2021")</f>
        <v/>
      </c>
      <c r="X753">
        <f>HYPERLINK("https://klasma.github.io/Logging_2039/tillsyn/A 71652-2021 tillsynsbegäran.docx", "A 71652-2021")</f>
        <v/>
      </c>
      <c r="Y753">
        <f>HYPERLINK("https://klasma.github.io/Logging_2039/tillsynsmail/A 71652-2021 tillsynsbegäran mail.docx", "A 71652-2021")</f>
        <v/>
      </c>
      <c r="Z753">
        <f>HYPERLINK("https://klasma.github.io/Logging_2039/fåglar/A 71652-2021 prioriterade fågelarter.docx", "A 71652-2021")</f>
        <v/>
      </c>
    </row>
    <row r="754" ht="15" customHeight="1">
      <c r="A754" t="inlineStr">
        <is>
          <t>A 72175-2021</t>
        </is>
      </c>
      <c r="B754" s="1" t="n">
        <v>44544</v>
      </c>
      <c r="C754" s="1" t="n">
        <v>45706</v>
      </c>
      <c r="D754" t="inlineStr">
        <is>
          <t>DALARNAS LÄN</t>
        </is>
      </c>
      <c r="E754" t="inlineStr">
        <is>
          <t>ÄLVDALEN</t>
        </is>
      </c>
      <c r="F754" t="inlineStr">
        <is>
          <t>Sveaskog</t>
        </is>
      </c>
      <c r="G754" t="n">
        <v>20.3</v>
      </c>
      <c r="H754" t="n">
        <v>1</v>
      </c>
      <c r="I754" t="n">
        <v>0</v>
      </c>
      <c r="J754" t="n">
        <v>1</v>
      </c>
      <c r="K754" t="n">
        <v>0</v>
      </c>
      <c r="L754" t="n">
        <v>0</v>
      </c>
      <c r="M754" t="n">
        <v>0</v>
      </c>
      <c r="N754" t="n">
        <v>0</v>
      </c>
      <c r="O754" t="n">
        <v>1</v>
      </c>
      <c r="P754" t="n">
        <v>0</v>
      </c>
      <c r="Q754" t="n">
        <v>1</v>
      </c>
      <c r="R754" s="2" t="inlineStr">
        <is>
          <t>Varglav</t>
        </is>
      </c>
      <c r="S754">
        <f>HYPERLINK("https://klasma.github.io/Logging_2039/artfynd/A 72175-2021 artfynd.xlsx", "A 72175-2021")</f>
        <v/>
      </c>
      <c r="T754">
        <f>HYPERLINK("https://klasma.github.io/Logging_2039/kartor/A 72175-2021 karta.png", "A 72175-2021")</f>
        <v/>
      </c>
      <c r="V754">
        <f>HYPERLINK("https://klasma.github.io/Logging_2039/klagomål/A 72175-2021 FSC-klagomål.docx", "A 72175-2021")</f>
        <v/>
      </c>
      <c r="W754">
        <f>HYPERLINK("https://klasma.github.io/Logging_2039/klagomålsmail/A 72175-2021 FSC-klagomål mail.docx", "A 72175-2021")</f>
        <v/>
      </c>
      <c r="X754">
        <f>HYPERLINK("https://klasma.github.io/Logging_2039/tillsyn/A 72175-2021 tillsynsbegäran.docx", "A 72175-2021")</f>
        <v/>
      </c>
      <c r="Y754">
        <f>HYPERLINK("https://klasma.github.io/Logging_2039/tillsynsmail/A 72175-2021 tillsynsbegäran mail.docx", "A 72175-2021")</f>
        <v/>
      </c>
    </row>
    <row r="755" ht="15" customHeight="1">
      <c r="A755" t="inlineStr">
        <is>
          <t>A 72858-2021</t>
        </is>
      </c>
      <c r="B755" s="1" t="n">
        <v>44547</v>
      </c>
      <c r="C755" s="1" t="n">
        <v>45706</v>
      </c>
      <c r="D755" t="inlineStr">
        <is>
          <t>DALARNAS LÄN</t>
        </is>
      </c>
      <c r="E755" t="inlineStr">
        <is>
          <t>LUDVIKA</t>
        </is>
      </c>
      <c r="F755" t="inlineStr">
        <is>
          <t>Kommuner</t>
        </is>
      </c>
      <c r="G755" t="n">
        <v>7</v>
      </c>
      <c r="H755" t="n">
        <v>0</v>
      </c>
      <c r="I755" t="n">
        <v>0</v>
      </c>
      <c r="J755" t="n">
        <v>0</v>
      </c>
      <c r="K755" t="n">
        <v>1</v>
      </c>
      <c r="L755" t="n">
        <v>0</v>
      </c>
      <c r="M755" t="n">
        <v>0</v>
      </c>
      <c r="N755" t="n">
        <v>0</v>
      </c>
      <c r="O755" t="n">
        <v>1</v>
      </c>
      <c r="P755" t="n">
        <v>1</v>
      </c>
      <c r="Q755" t="n">
        <v>1</v>
      </c>
      <c r="R755" s="2" t="inlineStr">
        <is>
          <t>Rynkskinn</t>
        </is>
      </c>
      <c r="S755">
        <f>HYPERLINK("https://klasma.github.io/Logging_2085/artfynd/A 72858-2021 artfynd.xlsx", "A 72858-2021")</f>
        <v/>
      </c>
      <c r="T755">
        <f>HYPERLINK("https://klasma.github.io/Logging_2085/kartor/A 72858-2021 karta.png", "A 72858-2021")</f>
        <v/>
      </c>
      <c r="V755">
        <f>HYPERLINK("https://klasma.github.io/Logging_2085/klagomål/A 72858-2021 FSC-klagomål.docx", "A 72858-2021")</f>
        <v/>
      </c>
      <c r="W755">
        <f>HYPERLINK("https://klasma.github.io/Logging_2085/klagomålsmail/A 72858-2021 FSC-klagomål mail.docx", "A 72858-2021")</f>
        <v/>
      </c>
      <c r="X755">
        <f>HYPERLINK("https://klasma.github.io/Logging_2085/tillsyn/A 72858-2021 tillsynsbegäran.docx", "A 72858-2021")</f>
        <v/>
      </c>
      <c r="Y755">
        <f>HYPERLINK("https://klasma.github.io/Logging_2085/tillsynsmail/A 72858-2021 tillsynsbegäran mail.docx", "A 72858-2021")</f>
        <v/>
      </c>
    </row>
    <row r="756" ht="15" customHeight="1">
      <c r="A756" t="inlineStr">
        <is>
          <t>A 74401-2021</t>
        </is>
      </c>
      <c r="B756" s="1" t="n">
        <v>44560</v>
      </c>
      <c r="C756" s="1" t="n">
        <v>45706</v>
      </c>
      <c r="D756" t="inlineStr">
        <is>
          <t>DALARNAS LÄN</t>
        </is>
      </c>
      <c r="E756" t="inlineStr">
        <is>
          <t>LUDVIKA</t>
        </is>
      </c>
      <c r="F756" t="inlineStr">
        <is>
          <t>Kommuner</t>
        </is>
      </c>
      <c r="G756" t="n">
        <v>0.6</v>
      </c>
      <c r="H756" t="n">
        <v>0</v>
      </c>
      <c r="I756" t="n">
        <v>1</v>
      </c>
      <c r="J756" t="n">
        <v>0</v>
      </c>
      <c r="K756" t="n">
        <v>0</v>
      </c>
      <c r="L756" t="n">
        <v>0</v>
      </c>
      <c r="M756" t="n">
        <v>0</v>
      </c>
      <c r="N756" t="n">
        <v>0</v>
      </c>
      <c r="O756" t="n">
        <v>0</v>
      </c>
      <c r="P756" t="n">
        <v>0</v>
      </c>
      <c r="Q756" t="n">
        <v>1</v>
      </c>
      <c r="R756" s="2" t="inlineStr">
        <is>
          <t>Gullgröppa</t>
        </is>
      </c>
      <c r="S756">
        <f>HYPERLINK("https://klasma.github.io/Logging_2085/artfynd/A 74401-2021 artfynd.xlsx", "A 74401-2021")</f>
        <v/>
      </c>
      <c r="T756">
        <f>HYPERLINK("https://klasma.github.io/Logging_2085/kartor/A 74401-2021 karta.png", "A 74401-2021")</f>
        <v/>
      </c>
      <c r="V756">
        <f>HYPERLINK("https://klasma.github.io/Logging_2085/klagomål/A 74401-2021 FSC-klagomål.docx", "A 74401-2021")</f>
        <v/>
      </c>
      <c r="W756">
        <f>HYPERLINK("https://klasma.github.io/Logging_2085/klagomålsmail/A 74401-2021 FSC-klagomål mail.docx", "A 74401-2021")</f>
        <v/>
      </c>
      <c r="X756">
        <f>HYPERLINK("https://klasma.github.io/Logging_2085/tillsyn/A 74401-2021 tillsynsbegäran.docx", "A 74401-2021")</f>
        <v/>
      </c>
      <c r="Y756">
        <f>HYPERLINK("https://klasma.github.io/Logging_2085/tillsynsmail/A 74401-2021 tillsynsbegäran mail.docx", "A 74401-2021")</f>
        <v/>
      </c>
    </row>
    <row r="757" ht="15" customHeight="1">
      <c r="A757" t="inlineStr">
        <is>
          <t>A 734-2022</t>
        </is>
      </c>
      <c r="B757" s="1" t="n">
        <v>44568</v>
      </c>
      <c r="C757" s="1" t="n">
        <v>45706</v>
      </c>
      <c r="D757" t="inlineStr">
        <is>
          <t>DALARNAS LÄN</t>
        </is>
      </c>
      <c r="E757" t="inlineStr">
        <is>
          <t>RÄTTVIK</t>
        </is>
      </c>
      <c r="F757" t="inlineStr">
        <is>
          <t>Sveaskog</t>
        </is>
      </c>
      <c r="G757" t="n">
        <v>1.5</v>
      </c>
      <c r="H757" t="n">
        <v>1</v>
      </c>
      <c r="I757" t="n">
        <v>0</v>
      </c>
      <c r="J757" t="n">
        <v>0</v>
      </c>
      <c r="K757" t="n">
        <v>1</v>
      </c>
      <c r="L757" t="n">
        <v>0</v>
      </c>
      <c r="M757" t="n">
        <v>0</v>
      </c>
      <c r="N757" t="n">
        <v>0</v>
      </c>
      <c r="O757" t="n">
        <v>1</v>
      </c>
      <c r="P757" t="n">
        <v>1</v>
      </c>
      <c r="Q757" t="n">
        <v>1</v>
      </c>
      <c r="R757" s="2" t="inlineStr">
        <is>
          <t>Knärot</t>
        </is>
      </c>
      <c r="S757">
        <f>HYPERLINK("https://klasma.github.io/Logging_2031/artfynd/A 734-2022 artfynd.xlsx", "A 734-2022")</f>
        <v/>
      </c>
      <c r="T757">
        <f>HYPERLINK("https://klasma.github.io/Logging_2031/kartor/A 734-2022 karta.png", "A 734-2022")</f>
        <v/>
      </c>
      <c r="U757">
        <f>HYPERLINK("https://klasma.github.io/Logging_2031/knärot/A 734-2022 karta knärot.png", "A 734-2022")</f>
        <v/>
      </c>
      <c r="V757">
        <f>HYPERLINK("https://klasma.github.io/Logging_2031/klagomål/A 734-2022 FSC-klagomål.docx", "A 734-2022")</f>
        <v/>
      </c>
      <c r="W757">
        <f>HYPERLINK("https://klasma.github.io/Logging_2031/klagomålsmail/A 734-2022 FSC-klagomål mail.docx", "A 734-2022")</f>
        <v/>
      </c>
      <c r="X757">
        <f>HYPERLINK("https://klasma.github.io/Logging_2031/tillsyn/A 734-2022 tillsynsbegäran.docx", "A 734-2022")</f>
        <v/>
      </c>
      <c r="Y757">
        <f>HYPERLINK("https://klasma.github.io/Logging_2031/tillsynsmail/A 734-2022 tillsynsbegäran mail.docx", "A 734-2022")</f>
        <v/>
      </c>
    </row>
    <row r="758" ht="15" customHeight="1">
      <c r="A758" t="inlineStr">
        <is>
          <t>A 927-2022</t>
        </is>
      </c>
      <c r="B758" s="1" t="n">
        <v>44571</v>
      </c>
      <c r="C758" s="1" t="n">
        <v>45706</v>
      </c>
      <c r="D758" t="inlineStr">
        <is>
          <t>DALARNAS LÄN</t>
        </is>
      </c>
      <c r="E758" t="inlineStr">
        <is>
          <t>LUDVIKA</t>
        </is>
      </c>
      <c r="F758" t="inlineStr">
        <is>
          <t>Allmännings- och besparingsskogar</t>
        </is>
      </c>
      <c r="G758" t="n">
        <v>2.4</v>
      </c>
      <c r="H758" t="n">
        <v>0</v>
      </c>
      <c r="I758" t="n">
        <v>0</v>
      </c>
      <c r="J758" t="n">
        <v>1</v>
      </c>
      <c r="K758" t="n">
        <v>0</v>
      </c>
      <c r="L758" t="n">
        <v>0</v>
      </c>
      <c r="M758" t="n">
        <v>0</v>
      </c>
      <c r="N758" t="n">
        <v>0</v>
      </c>
      <c r="O758" t="n">
        <v>1</v>
      </c>
      <c r="P758" t="n">
        <v>0</v>
      </c>
      <c r="Q758" t="n">
        <v>1</v>
      </c>
      <c r="R758" s="2" t="inlineStr">
        <is>
          <t>Brunklöver</t>
        </is>
      </c>
      <c r="S758">
        <f>HYPERLINK("https://klasma.github.io/Logging_2085/artfynd/A 927-2022 artfynd.xlsx", "A 927-2022")</f>
        <v/>
      </c>
      <c r="T758">
        <f>HYPERLINK("https://klasma.github.io/Logging_2085/kartor/A 927-2022 karta.png", "A 927-2022")</f>
        <v/>
      </c>
      <c r="V758">
        <f>HYPERLINK("https://klasma.github.io/Logging_2085/klagomål/A 927-2022 FSC-klagomål.docx", "A 927-2022")</f>
        <v/>
      </c>
      <c r="W758">
        <f>HYPERLINK("https://klasma.github.io/Logging_2085/klagomålsmail/A 927-2022 FSC-klagomål mail.docx", "A 927-2022")</f>
        <v/>
      </c>
      <c r="X758">
        <f>HYPERLINK("https://klasma.github.io/Logging_2085/tillsyn/A 927-2022 tillsynsbegäran.docx", "A 927-2022")</f>
        <v/>
      </c>
      <c r="Y758">
        <f>HYPERLINK("https://klasma.github.io/Logging_2085/tillsynsmail/A 927-2022 tillsynsbegäran mail.docx", "A 927-2022")</f>
        <v/>
      </c>
    </row>
    <row r="759" ht="15" customHeight="1">
      <c r="A759" t="inlineStr">
        <is>
          <t>A 1695-2022</t>
        </is>
      </c>
      <c r="B759" s="1" t="n">
        <v>44574</v>
      </c>
      <c r="C759" s="1" t="n">
        <v>45706</v>
      </c>
      <c r="D759" t="inlineStr">
        <is>
          <t>DALARNAS LÄN</t>
        </is>
      </c>
      <c r="E759" t="inlineStr">
        <is>
          <t>AVESTA</t>
        </is>
      </c>
      <c r="G759" t="n">
        <v>6.5</v>
      </c>
      <c r="H759" t="n">
        <v>1</v>
      </c>
      <c r="I759" t="n">
        <v>0</v>
      </c>
      <c r="J759" t="n">
        <v>0</v>
      </c>
      <c r="K759" t="n">
        <v>1</v>
      </c>
      <c r="L759" t="n">
        <v>0</v>
      </c>
      <c r="M759" t="n">
        <v>0</v>
      </c>
      <c r="N759" t="n">
        <v>0</v>
      </c>
      <c r="O759" t="n">
        <v>1</v>
      </c>
      <c r="P759" t="n">
        <v>1</v>
      </c>
      <c r="Q759" t="n">
        <v>1</v>
      </c>
      <c r="R759" s="2" t="inlineStr">
        <is>
          <t>Knärot</t>
        </is>
      </c>
      <c r="S759">
        <f>HYPERLINK("https://klasma.github.io/Logging_2084/artfynd/A 1695-2022 artfynd.xlsx", "A 1695-2022")</f>
        <v/>
      </c>
      <c r="T759">
        <f>HYPERLINK("https://klasma.github.io/Logging_2084/kartor/A 1695-2022 karta.png", "A 1695-2022")</f>
        <v/>
      </c>
      <c r="U759">
        <f>HYPERLINK("https://klasma.github.io/Logging_2084/knärot/A 1695-2022 karta knärot.png", "A 1695-2022")</f>
        <v/>
      </c>
      <c r="V759">
        <f>HYPERLINK("https://klasma.github.io/Logging_2084/klagomål/A 1695-2022 FSC-klagomål.docx", "A 1695-2022")</f>
        <v/>
      </c>
      <c r="W759">
        <f>HYPERLINK("https://klasma.github.io/Logging_2084/klagomålsmail/A 1695-2022 FSC-klagomål mail.docx", "A 1695-2022")</f>
        <v/>
      </c>
      <c r="X759">
        <f>HYPERLINK("https://klasma.github.io/Logging_2084/tillsyn/A 1695-2022 tillsynsbegäran.docx", "A 1695-2022")</f>
        <v/>
      </c>
      <c r="Y759">
        <f>HYPERLINK("https://klasma.github.io/Logging_2084/tillsynsmail/A 1695-2022 tillsynsbegäran mail.docx", "A 1695-2022")</f>
        <v/>
      </c>
    </row>
    <row r="760" ht="15" customHeight="1">
      <c r="A760" t="inlineStr">
        <is>
          <t>A 4144-2022</t>
        </is>
      </c>
      <c r="B760" s="1" t="n">
        <v>44588</v>
      </c>
      <c r="C760" s="1" t="n">
        <v>45706</v>
      </c>
      <c r="D760" t="inlineStr">
        <is>
          <t>DALARNAS LÄN</t>
        </is>
      </c>
      <c r="E760" t="inlineStr">
        <is>
          <t>ORSA</t>
        </is>
      </c>
      <c r="G760" t="n">
        <v>1</v>
      </c>
      <c r="H760" t="n">
        <v>0</v>
      </c>
      <c r="I760" t="n">
        <v>1</v>
      </c>
      <c r="J760" t="n">
        <v>0</v>
      </c>
      <c r="K760" t="n">
        <v>0</v>
      </c>
      <c r="L760" t="n">
        <v>0</v>
      </c>
      <c r="M760" t="n">
        <v>0</v>
      </c>
      <c r="N760" t="n">
        <v>0</v>
      </c>
      <c r="O760" t="n">
        <v>0</v>
      </c>
      <c r="P760" t="n">
        <v>0</v>
      </c>
      <c r="Q760" t="n">
        <v>1</v>
      </c>
      <c r="R760" s="2" t="inlineStr">
        <is>
          <t>Svart trolldruva</t>
        </is>
      </c>
      <c r="S760">
        <f>HYPERLINK("https://klasma.github.io/Logging_2034/artfynd/A 4144-2022 artfynd.xlsx", "A 4144-2022")</f>
        <v/>
      </c>
      <c r="T760">
        <f>HYPERLINK("https://klasma.github.io/Logging_2034/kartor/A 4144-2022 karta.png", "A 4144-2022")</f>
        <v/>
      </c>
      <c r="V760">
        <f>HYPERLINK("https://klasma.github.io/Logging_2034/klagomål/A 4144-2022 FSC-klagomål.docx", "A 4144-2022")</f>
        <v/>
      </c>
      <c r="W760">
        <f>HYPERLINK("https://klasma.github.io/Logging_2034/klagomålsmail/A 4144-2022 FSC-klagomål mail.docx", "A 4144-2022")</f>
        <v/>
      </c>
      <c r="X760">
        <f>HYPERLINK("https://klasma.github.io/Logging_2034/tillsyn/A 4144-2022 tillsynsbegäran.docx", "A 4144-2022")</f>
        <v/>
      </c>
      <c r="Y760">
        <f>HYPERLINK("https://klasma.github.io/Logging_2034/tillsynsmail/A 4144-2022 tillsynsbegäran mail.docx", "A 4144-2022")</f>
        <v/>
      </c>
    </row>
    <row r="761" ht="15" customHeight="1">
      <c r="A761" t="inlineStr">
        <is>
          <t>A 10626-2022</t>
        </is>
      </c>
      <c r="B761" s="1" t="n">
        <v>44627</v>
      </c>
      <c r="C761" s="1" t="n">
        <v>45706</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11560-2022</t>
        </is>
      </c>
      <c r="B762" s="1" t="n">
        <v>44631</v>
      </c>
      <c r="C762" s="1" t="n">
        <v>45706</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12997-2022</t>
        </is>
      </c>
      <c r="B763" s="1" t="n">
        <v>44643</v>
      </c>
      <c r="C763" s="1" t="n">
        <v>45706</v>
      </c>
      <c r="D763" t="inlineStr">
        <is>
          <t>DALARNAS LÄN</t>
        </is>
      </c>
      <c r="E763" t="inlineStr">
        <is>
          <t>AVESTA</t>
        </is>
      </c>
      <c r="G763" t="n">
        <v>0.6</v>
      </c>
      <c r="H763" t="n">
        <v>1</v>
      </c>
      <c r="I763" t="n">
        <v>0</v>
      </c>
      <c r="J763" t="n">
        <v>1</v>
      </c>
      <c r="K763" t="n">
        <v>0</v>
      </c>
      <c r="L763" t="n">
        <v>0</v>
      </c>
      <c r="M763" t="n">
        <v>0</v>
      </c>
      <c r="N763" t="n">
        <v>0</v>
      </c>
      <c r="O763" t="n">
        <v>1</v>
      </c>
      <c r="P763" t="n">
        <v>0</v>
      </c>
      <c r="Q763" t="n">
        <v>1</v>
      </c>
      <c r="R763" s="2" t="inlineStr">
        <is>
          <t>Tretåig hackspett</t>
        </is>
      </c>
      <c r="S763">
        <f>HYPERLINK("https://klasma.github.io/Logging_2084/artfynd/A 12997-2022 artfynd.xlsx", "A 12997-2022")</f>
        <v/>
      </c>
      <c r="T763">
        <f>HYPERLINK("https://klasma.github.io/Logging_2084/kartor/A 12997-2022 karta.png", "A 12997-2022")</f>
        <v/>
      </c>
      <c r="V763">
        <f>HYPERLINK("https://klasma.github.io/Logging_2084/klagomål/A 12997-2022 FSC-klagomål.docx", "A 12997-2022")</f>
        <v/>
      </c>
      <c r="W763">
        <f>HYPERLINK("https://klasma.github.io/Logging_2084/klagomålsmail/A 12997-2022 FSC-klagomål mail.docx", "A 12997-2022")</f>
        <v/>
      </c>
      <c r="X763">
        <f>HYPERLINK("https://klasma.github.io/Logging_2084/tillsyn/A 12997-2022 tillsynsbegäran.docx", "A 12997-2022")</f>
        <v/>
      </c>
      <c r="Y763">
        <f>HYPERLINK("https://klasma.github.io/Logging_2084/tillsynsmail/A 12997-2022 tillsynsbegäran mail.docx", "A 12997-2022")</f>
        <v/>
      </c>
      <c r="Z763">
        <f>HYPERLINK("https://klasma.github.io/Logging_2084/fåglar/A 12997-2022 prioriterade fågelarter.docx", "A 12997-2022")</f>
        <v/>
      </c>
    </row>
    <row r="764" ht="15" customHeight="1">
      <c r="A764" t="inlineStr">
        <is>
          <t>A 13779-2022</t>
        </is>
      </c>
      <c r="B764" s="1" t="n">
        <v>44649</v>
      </c>
      <c r="C764" s="1" t="n">
        <v>45706</v>
      </c>
      <c r="D764" t="inlineStr">
        <is>
          <t>DALARNAS LÄN</t>
        </is>
      </c>
      <c r="E764" t="inlineStr">
        <is>
          <t>BORLÄNGE</t>
        </is>
      </c>
      <c r="G764" t="n">
        <v>1.3</v>
      </c>
      <c r="H764" t="n">
        <v>1</v>
      </c>
      <c r="I764" t="n">
        <v>0</v>
      </c>
      <c r="J764" t="n">
        <v>1</v>
      </c>
      <c r="K764" t="n">
        <v>0</v>
      </c>
      <c r="L764" t="n">
        <v>0</v>
      </c>
      <c r="M764" t="n">
        <v>0</v>
      </c>
      <c r="N764" t="n">
        <v>0</v>
      </c>
      <c r="O764" t="n">
        <v>1</v>
      </c>
      <c r="P764" t="n">
        <v>0</v>
      </c>
      <c r="Q764" t="n">
        <v>1</v>
      </c>
      <c r="R764" s="2" t="inlineStr">
        <is>
          <t>Slaguggla</t>
        </is>
      </c>
      <c r="S764">
        <f>HYPERLINK("https://klasma.github.io/Logging_2081/artfynd/A 13779-2022 artfynd.xlsx", "A 13779-2022")</f>
        <v/>
      </c>
      <c r="T764">
        <f>HYPERLINK("https://klasma.github.io/Logging_2081/kartor/A 13779-2022 karta.png", "A 13779-2022")</f>
        <v/>
      </c>
      <c r="V764">
        <f>HYPERLINK("https://klasma.github.io/Logging_2081/klagomål/A 13779-2022 FSC-klagomål.docx", "A 13779-2022")</f>
        <v/>
      </c>
      <c r="W764">
        <f>HYPERLINK("https://klasma.github.io/Logging_2081/klagomålsmail/A 13779-2022 FSC-klagomål mail.docx", "A 13779-2022")</f>
        <v/>
      </c>
      <c r="X764">
        <f>HYPERLINK("https://klasma.github.io/Logging_2081/tillsyn/A 13779-2022 tillsynsbegäran.docx", "A 13779-2022")</f>
        <v/>
      </c>
      <c r="Y764">
        <f>HYPERLINK("https://klasma.github.io/Logging_2081/tillsynsmail/A 13779-2022 tillsynsbegäran mail.docx", "A 13779-2022")</f>
        <v/>
      </c>
      <c r="Z764">
        <f>HYPERLINK("https://klasma.github.io/Logging_2081/fåglar/A 13779-2022 prioriterade fågelarter.docx", "A 13779-2022")</f>
        <v/>
      </c>
    </row>
    <row r="765" ht="15" customHeight="1">
      <c r="A765" t="inlineStr">
        <is>
          <t>A 19512-2022</t>
        </is>
      </c>
      <c r="B765" s="1" t="n">
        <v>44693</v>
      </c>
      <c r="C765" s="1" t="n">
        <v>45706</v>
      </c>
      <c r="D765" t="inlineStr">
        <is>
          <t>DALARNAS LÄN</t>
        </is>
      </c>
      <c r="E765" t="inlineStr">
        <is>
          <t>LUDVIKA</t>
        </is>
      </c>
      <c r="F765" t="inlineStr">
        <is>
          <t>Bergvik skog väst AB</t>
        </is>
      </c>
      <c r="G765" t="n">
        <v>2.8</v>
      </c>
      <c r="H765" t="n">
        <v>0</v>
      </c>
      <c r="I765" t="n">
        <v>1</v>
      </c>
      <c r="J765" t="n">
        <v>0</v>
      </c>
      <c r="K765" t="n">
        <v>0</v>
      </c>
      <c r="L765" t="n">
        <v>0</v>
      </c>
      <c r="M765" t="n">
        <v>0</v>
      </c>
      <c r="N765" t="n">
        <v>0</v>
      </c>
      <c r="O765" t="n">
        <v>0</v>
      </c>
      <c r="P765" t="n">
        <v>0</v>
      </c>
      <c r="Q765" t="n">
        <v>1</v>
      </c>
      <c r="R765" s="2" t="inlineStr">
        <is>
          <t>Nästlav</t>
        </is>
      </c>
      <c r="S765">
        <f>HYPERLINK("https://klasma.github.io/Logging_2085/artfynd/A 19512-2022 artfynd.xlsx", "A 19512-2022")</f>
        <v/>
      </c>
      <c r="T765">
        <f>HYPERLINK("https://klasma.github.io/Logging_2085/kartor/A 19512-2022 karta.png", "A 19512-2022")</f>
        <v/>
      </c>
      <c r="V765">
        <f>HYPERLINK("https://klasma.github.io/Logging_2085/klagomål/A 19512-2022 FSC-klagomål.docx", "A 19512-2022")</f>
        <v/>
      </c>
      <c r="W765">
        <f>HYPERLINK("https://klasma.github.io/Logging_2085/klagomålsmail/A 19512-2022 FSC-klagomål mail.docx", "A 19512-2022")</f>
        <v/>
      </c>
      <c r="X765">
        <f>HYPERLINK("https://klasma.github.io/Logging_2085/tillsyn/A 19512-2022 tillsynsbegäran.docx", "A 19512-2022")</f>
        <v/>
      </c>
      <c r="Y765">
        <f>HYPERLINK("https://klasma.github.io/Logging_2085/tillsynsmail/A 19512-2022 tillsynsbegäran mail.docx", "A 19512-2022")</f>
        <v/>
      </c>
    </row>
    <row r="766" ht="15" customHeight="1">
      <c r="A766" t="inlineStr">
        <is>
          <t>A 19717-2022</t>
        </is>
      </c>
      <c r="B766" s="1" t="n">
        <v>44694</v>
      </c>
      <c r="C766" s="1" t="n">
        <v>45706</v>
      </c>
      <c r="D766" t="inlineStr">
        <is>
          <t>DALARNAS LÄN</t>
        </is>
      </c>
      <c r="E766" t="inlineStr">
        <is>
          <t>LUDVIKA</t>
        </is>
      </c>
      <c r="F766" t="inlineStr">
        <is>
          <t>Bergvik skog väst AB</t>
        </is>
      </c>
      <c r="G766" t="n">
        <v>1.1</v>
      </c>
      <c r="H766" t="n">
        <v>0</v>
      </c>
      <c r="I766" t="n">
        <v>1</v>
      </c>
      <c r="J766" t="n">
        <v>0</v>
      </c>
      <c r="K766" t="n">
        <v>0</v>
      </c>
      <c r="L766" t="n">
        <v>0</v>
      </c>
      <c r="M766" t="n">
        <v>0</v>
      </c>
      <c r="N766" t="n">
        <v>0</v>
      </c>
      <c r="O766" t="n">
        <v>0</v>
      </c>
      <c r="P766" t="n">
        <v>0</v>
      </c>
      <c r="Q766" t="n">
        <v>1</v>
      </c>
      <c r="R766" s="2" t="inlineStr">
        <is>
          <t>Vedticka</t>
        </is>
      </c>
      <c r="S766">
        <f>HYPERLINK("https://klasma.github.io/Logging_2085/artfynd/A 19717-2022 artfynd.xlsx", "A 19717-2022")</f>
        <v/>
      </c>
      <c r="T766">
        <f>HYPERLINK("https://klasma.github.io/Logging_2085/kartor/A 19717-2022 karta.png", "A 19717-2022")</f>
        <v/>
      </c>
      <c r="V766">
        <f>HYPERLINK("https://klasma.github.io/Logging_2085/klagomål/A 19717-2022 FSC-klagomål.docx", "A 19717-2022")</f>
        <v/>
      </c>
      <c r="W766">
        <f>HYPERLINK("https://klasma.github.io/Logging_2085/klagomålsmail/A 19717-2022 FSC-klagomål mail.docx", "A 19717-2022")</f>
        <v/>
      </c>
      <c r="X766">
        <f>HYPERLINK("https://klasma.github.io/Logging_2085/tillsyn/A 19717-2022 tillsynsbegäran.docx", "A 19717-2022")</f>
        <v/>
      </c>
      <c r="Y766">
        <f>HYPERLINK("https://klasma.github.io/Logging_2085/tillsynsmail/A 19717-2022 tillsynsbegäran mail.docx", "A 19717-2022")</f>
        <v/>
      </c>
    </row>
    <row r="767" ht="15" customHeight="1">
      <c r="A767" t="inlineStr">
        <is>
          <t>A 21302-2022</t>
        </is>
      </c>
      <c r="B767" s="1" t="n">
        <v>44705</v>
      </c>
      <c r="C767" s="1" t="n">
        <v>45706</v>
      </c>
      <c r="D767" t="inlineStr">
        <is>
          <t>DALARNAS LÄN</t>
        </is>
      </c>
      <c r="E767" t="inlineStr">
        <is>
          <t>BORLÄNGE</t>
        </is>
      </c>
      <c r="G767" t="n">
        <v>0.9</v>
      </c>
      <c r="H767" t="n">
        <v>1</v>
      </c>
      <c r="I767" t="n">
        <v>0</v>
      </c>
      <c r="J767" t="n">
        <v>1</v>
      </c>
      <c r="K767" t="n">
        <v>0</v>
      </c>
      <c r="L767" t="n">
        <v>0</v>
      </c>
      <c r="M767" t="n">
        <v>0</v>
      </c>
      <c r="N767" t="n">
        <v>0</v>
      </c>
      <c r="O767" t="n">
        <v>1</v>
      </c>
      <c r="P767" t="n">
        <v>0</v>
      </c>
      <c r="Q767" t="n">
        <v>1</v>
      </c>
      <c r="R767" s="2" t="inlineStr">
        <is>
          <t>Brun gräsfjäril</t>
        </is>
      </c>
      <c r="S767">
        <f>HYPERLINK("https://klasma.github.io/Logging_2081/artfynd/A 21302-2022 artfynd.xlsx", "A 21302-2022")</f>
        <v/>
      </c>
      <c r="T767">
        <f>HYPERLINK("https://klasma.github.io/Logging_2081/kartor/A 21302-2022 karta.png", "A 21302-2022")</f>
        <v/>
      </c>
      <c r="V767">
        <f>HYPERLINK("https://klasma.github.io/Logging_2081/klagomål/A 21302-2022 FSC-klagomål.docx", "A 21302-2022")</f>
        <v/>
      </c>
      <c r="W767">
        <f>HYPERLINK("https://klasma.github.io/Logging_2081/klagomålsmail/A 21302-2022 FSC-klagomål mail.docx", "A 21302-2022")</f>
        <v/>
      </c>
      <c r="X767">
        <f>HYPERLINK("https://klasma.github.io/Logging_2081/tillsyn/A 21302-2022 tillsynsbegäran.docx", "A 21302-2022")</f>
        <v/>
      </c>
      <c r="Y767">
        <f>HYPERLINK("https://klasma.github.io/Logging_2081/tillsynsmail/A 21302-2022 tillsynsbegäran mail.docx", "A 21302-2022")</f>
        <v/>
      </c>
    </row>
    <row r="768" ht="15" customHeight="1">
      <c r="A768" t="inlineStr">
        <is>
          <t>A 21499-2022</t>
        </is>
      </c>
      <c r="B768" s="1" t="n">
        <v>44706</v>
      </c>
      <c r="C768" s="1" t="n">
        <v>45706</v>
      </c>
      <c r="D768" t="inlineStr">
        <is>
          <t>DALARNAS LÄN</t>
        </is>
      </c>
      <c r="E768" t="inlineStr">
        <is>
          <t>LUDVIKA</t>
        </is>
      </c>
      <c r="G768" t="n">
        <v>4.3</v>
      </c>
      <c r="H768" t="n">
        <v>0</v>
      </c>
      <c r="I768" t="n">
        <v>1</v>
      </c>
      <c r="J768" t="n">
        <v>0</v>
      </c>
      <c r="K768" t="n">
        <v>0</v>
      </c>
      <c r="L768" t="n">
        <v>0</v>
      </c>
      <c r="M768" t="n">
        <v>0</v>
      </c>
      <c r="N768" t="n">
        <v>0</v>
      </c>
      <c r="O768" t="n">
        <v>0</v>
      </c>
      <c r="P768" t="n">
        <v>0</v>
      </c>
      <c r="Q768" t="n">
        <v>1</v>
      </c>
      <c r="R768" s="2" t="inlineStr">
        <is>
          <t>Strimspindling</t>
        </is>
      </c>
      <c r="S768">
        <f>HYPERLINK("https://klasma.github.io/Logging_2085/artfynd/A 21499-2022 artfynd.xlsx", "A 21499-2022")</f>
        <v/>
      </c>
      <c r="T768">
        <f>HYPERLINK("https://klasma.github.io/Logging_2085/kartor/A 21499-2022 karta.png", "A 21499-2022")</f>
        <v/>
      </c>
      <c r="V768">
        <f>HYPERLINK("https://klasma.github.io/Logging_2085/klagomål/A 21499-2022 FSC-klagomål.docx", "A 21499-2022")</f>
        <v/>
      </c>
      <c r="W768">
        <f>HYPERLINK("https://klasma.github.io/Logging_2085/klagomålsmail/A 21499-2022 FSC-klagomål mail.docx", "A 21499-2022")</f>
        <v/>
      </c>
      <c r="X768">
        <f>HYPERLINK("https://klasma.github.io/Logging_2085/tillsyn/A 21499-2022 tillsynsbegäran.docx", "A 21499-2022")</f>
        <v/>
      </c>
      <c r="Y768">
        <f>HYPERLINK("https://klasma.github.io/Logging_2085/tillsynsmail/A 21499-2022 tillsynsbegäran mail.docx", "A 21499-2022")</f>
        <v/>
      </c>
    </row>
    <row r="769" ht="15" customHeight="1">
      <c r="A769" t="inlineStr">
        <is>
          <t>A 23137-2022</t>
        </is>
      </c>
      <c r="B769" s="1" t="n">
        <v>44719</v>
      </c>
      <c r="C769" s="1" t="n">
        <v>45706</v>
      </c>
      <c r="D769" t="inlineStr">
        <is>
          <t>DALARNAS LÄN</t>
        </is>
      </c>
      <c r="E769" t="inlineStr">
        <is>
          <t>LEKSAND</t>
        </is>
      </c>
      <c r="G769" t="n">
        <v>3</v>
      </c>
      <c r="H769" t="n">
        <v>0</v>
      </c>
      <c r="I769" t="n">
        <v>0</v>
      </c>
      <c r="J769" t="n">
        <v>0</v>
      </c>
      <c r="K769" t="n">
        <v>1</v>
      </c>
      <c r="L769" t="n">
        <v>0</v>
      </c>
      <c r="M769" t="n">
        <v>0</v>
      </c>
      <c r="N769" t="n">
        <v>0</v>
      </c>
      <c r="O769" t="n">
        <v>1</v>
      </c>
      <c r="P769" t="n">
        <v>1</v>
      </c>
      <c r="Q769" t="n">
        <v>1</v>
      </c>
      <c r="R769" s="2" t="inlineStr">
        <is>
          <t>Koppartaggsvamp</t>
        </is>
      </c>
      <c r="S769">
        <f>HYPERLINK("https://klasma.github.io/Logging_2029/artfynd/A 23137-2022 artfynd.xlsx", "A 23137-2022")</f>
        <v/>
      </c>
      <c r="T769">
        <f>HYPERLINK("https://klasma.github.io/Logging_2029/kartor/A 23137-2022 karta.png", "A 23137-2022")</f>
        <v/>
      </c>
      <c r="V769">
        <f>HYPERLINK("https://klasma.github.io/Logging_2029/klagomål/A 23137-2022 FSC-klagomål.docx", "A 23137-2022")</f>
        <v/>
      </c>
      <c r="W769">
        <f>HYPERLINK("https://klasma.github.io/Logging_2029/klagomålsmail/A 23137-2022 FSC-klagomål mail.docx", "A 23137-2022")</f>
        <v/>
      </c>
      <c r="X769">
        <f>HYPERLINK("https://klasma.github.io/Logging_2029/tillsyn/A 23137-2022 tillsynsbegäran.docx", "A 23137-2022")</f>
        <v/>
      </c>
      <c r="Y769">
        <f>HYPERLINK("https://klasma.github.io/Logging_2029/tillsynsmail/A 23137-2022 tillsynsbegäran mail.docx", "A 23137-2022")</f>
        <v/>
      </c>
    </row>
    <row r="770" ht="15" customHeight="1">
      <c r="A770" t="inlineStr">
        <is>
          <t>A 23476-2022</t>
        </is>
      </c>
      <c r="B770" s="1" t="n">
        <v>44721</v>
      </c>
      <c r="C770" s="1" t="n">
        <v>45706</v>
      </c>
      <c r="D770" t="inlineStr">
        <is>
          <t>DALARNAS LÄN</t>
        </is>
      </c>
      <c r="E770" t="inlineStr">
        <is>
          <t>MALUNG-SÄLEN</t>
        </is>
      </c>
      <c r="F770" t="inlineStr">
        <is>
          <t>Övriga statliga verk och myndigheter</t>
        </is>
      </c>
      <c r="G770" t="n">
        <v>1.2</v>
      </c>
      <c r="H770" t="n">
        <v>0</v>
      </c>
      <c r="I770" t="n">
        <v>1</v>
      </c>
      <c r="J770" t="n">
        <v>0</v>
      </c>
      <c r="K770" t="n">
        <v>0</v>
      </c>
      <c r="L770" t="n">
        <v>0</v>
      </c>
      <c r="M770" t="n">
        <v>0</v>
      </c>
      <c r="N770" t="n">
        <v>0</v>
      </c>
      <c r="O770" t="n">
        <v>0</v>
      </c>
      <c r="P770" t="n">
        <v>0</v>
      </c>
      <c r="Q770" t="n">
        <v>1</v>
      </c>
      <c r="R770" s="2" t="inlineStr">
        <is>
          <t>Sotlav</t>
        </is>
      </c>
      <c r="S770">
        <f>HYPERLINK("https://klasma.github.io/Logging_2023/artfynd/A 23476-2022 artfynd.xlsx", "A 23476-2022")</f>
        <v/>
      </c>
      <c r="T770">
        <f>HYPERLINK("https://klasma.github.io/Logging_2023/kartor/A 23476-2022 karta.png", "A 23476-2022")</f>
        <v/>
      </c>
      <c r="V770">
        <f>HYPERLINK("https://klasma.github.io/Logging_2023/klagomål/A 23476-2022 FSC-klagomål.docx", "A 23476-2022")</f>
        <v/>
      </c>
      <c r="W770">
        <f>HYPERLINK("https://klasma.github.io/Logging_2023/klagomålsmail/A 23476-2022 FSC-klagomål mail.docx", "A 23476-2022")</f>
        <v/>
      </c>
      <c r="X770">
        <f>HYPERLINK("https://klasma.github.io/Logging_2023/tillsyn/A 23476-2022 tillsynsbegäran.docx", "A 23476-2022")</f>
        <v/>
      </c>
      <c r="Y770">
        <f>HYPERLINK("https://klasma.github.io/Logging_2023/tillsynsmail/A 23476-2022 tillsynsbegäran mail.docx", "A 23476-2022")</f>
        <v/>
      </c>
    </row>
    <row r="771" ht="15" customHeight="1">
      <c r="A771" t="inlineStr">
        <is>
          <t>A 24549-2022</t>
        </is>
      </c>
      <c r="B771" s="1" t="n">
        <v>44727</v>
      </c>
      <c r="C771" s="1" t="n">
        <v>45706</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24854-2022</t>
        </is>
      </c>
      <c r="B772" s="1" t="n">
        <v>44728</v>
      </c>
      <c r="C772" s="1" t="n">
        <v>45706</v>
      </c>
      <c r="D772" t="inlineStr">
        <is>
          <t>DALARNAS LÄN</t>
        </is>
      </c>
      <c r="E772" t="inlineStr">
        <is>
          <t>RÄTTVIK</t>
        </is>
      </c>
      <c r="F772" t="inlineStr">
        <is>
          <t>Sveaskog</t>
        </is>
      </c>
      <c r="G772" t="n">
        <v>4.3</v>
      </c>
      <c r="H772" t="n">
        <v>0</v>
      </c>
      <c r="I772" t="n">
        <v>0</v>
      </c>
      <c r="J772" t="n">
        <v>1</v>
      </c>
      <c r="K772" t="n">
        <v>0</v>
      </c>
      <c r="L772" t="n">
        <v>0</v>
      </c>
      <c r="M772" t="n">
        <v>0</v>
      </c>
      <c r="N772" t="n">
        <v>0</v>
      </c>
      <c r="O772" t="n">
        <v>1</v>
      </c>
      <c r="P772" t="n">
        <v>0</v>
      </c>
      <c r="Q772" t="n">
        <v>1</v>
      </c>
      <c r="R772" s="2" t="inlineStr">
        <is>
          <t>Garnlav</t>
        </is>
      </c>
      <c r="S772">
        <f>HYPERLINK("https://klasma.github.io/Logging_2031/artfynd/A 24854-2022 artfynd.xlsx", "A 24854-2022")</f>
        <v/>
      </c>
      <c r="T772">
        <f>HYPERLINK("https://klasma.github.io/Logging_2031/kartor/A 24854-2022 karta.png", "A 24854-2022")</f>
        <v/>
      </c>
      <c r="U772">
        <f>HYPERLINK("https://klasma.github.io/Logging_2031/knärot/A 24854-2022 karta knärot.png", "A 24854-2022")</f>
        <v/>
      </c>
      <c r="V772">
        <f>HYPERLINK("https://klasma.github.io/Logging_2031/klagomål/A 24854-2022 FSC-klagomål.docx", "A 24854-2022")</f>
        <v/>
      </c>
      <c r="W772">
        <f>HYPERLINK("https://klasma.github.io/Logging_2031/klagomålsmail/A 24854-2022 FSC-klagomål mail.docx", "A 24854-2022")</f>
        <v/>
      </c>
      <c r="X772">
        <f>HYPERLINK("https://klasma.github.io/Logging_2031/tillsyn/A 24854-2022 tillsynsbegäran.docx", "A 24854-2022")</f>
        <v/>
      </c>
      <c r="Y772">
        <f>HYPERLINK("https://klasma.github.io/Logging_2031/tillsynsmail/A 24854-2022 tillsynsbegäran mail.docx", "A 24854-2022")</f>
        <v/>
      </c>
    </row>
    <row r="773" ht="15" customHeight="1">
      <c r="A773" t="inlineStr">
        <is>
          <t>A 25675-2022</t>
        </is>
      </c>
      <c r="B773" s="1" t="n">
        <v>44732</v>
      </c>
      <c r="C773" s="1" t="n">
        <v>45706</v>
      </c>
      <c r="D773" t="inlineStr">
        <is>
          <t>DALARNAS LÄN</t>
        </is>
      </c>
      <c r="E773" t="inlineStr">
        <is>
          <t>SÄTER</t>
        </is>
      </c>
      <c r="F773" t="inlineStr">
        <is>
          <t>Bergvik skog väst AB</t>
        </is>
      </c>
      <c r="G773" t="n">
        <v>4.7</v>
      </c>
      <c r="H773" t="n">
        <v>0</v>
      </c>
      <c r="I773" t="n">
        <v>0</v>
      </c>
      <c r="J773" t="n">
        <v>1</v>
      </c>
      <c r="K773" t="n">
        <v>0</v>
      </c>
      <c r="L773" t="n">
        <v>0</v>
      </c>
      <c r="M773" t="n">
        <v>0</v>
      </c>
      <c r="N773" t="n">
        <v>0</v>
      </c>
      <c r="O773" t="n">
        <v>1</v>
      </c>
      <c r="P773" t="n">
        <v>0</v>
      </c>
      <c r="Q773" t="n">
        <v>1</v>
      </c>
      <c r="R773" s="2" t="inlineStr">
        <is>
          <t>Orange taggsvamp</t>
        </is>
      </c>
      <c r="S773">
        <f>HYPERLINK("https://klasma.github.io/Logging_2082/artfynd/A 25675-2022 artfynd.xlsx", "A 25675-2022")</f>
        <v/>
      </c>
      <c r="T773">
        <f>HYPERLINK("https://klasma.github.io/Logging_2082/kartor/A 25675-2022 karta.png", "A 25675-2022")</f>
        <v/>
      </c>
      <c r="V773">
        <f>HYPERLINK("https://klasma.github.io/Logging_2082/klagomål/A 25675-2022 FSC-klagomål.docx", "A 25675-2022")</f>
        <v/>
      </c>
      <c r="W773">
        <f>HYPERLINK("https://klasma.github.io/Logging_2082/klagomålsmail/A 25675-2022 FSC-klagomål mail.docx", "A 25675-2022")</f>
        <v/>
      </c>
      <c r="X773">
        <f>HYPERLINK("https://klasma.github.io/Logging_2082/tillsyn/A 25675-2022 tillsynsbegäran.docx", "A 25675-2022")</f>
        <v/>
      </c>
      <c r="Y773">
        <f>HYPERLINK("https://klasma.github.io/Logging_2082/tillsynsmail/A 25675-2022 tillsynsbegäran mail.docx", "A 25675-2022")</f>
        <v/>
      </c>
    </row>
    <row r="774" ht="15" customHeight="1">
      <c r="A774" t="inlineStr">
        <is>
          <t>A 31803-2022</t>
        </is>
      </c>
      <c r="B774" s="1" t="n">
        <v>44776</v>
      </c>
      <c r="C774" s="1" t="n">
        <v>45706</v>
      </c>
      <c r="D774" t="inlineStr">
        <is>
          <t>DALARNAS LÄN</t>
        </is>
      </c>
      <c r="E774" t="inlineStr">
        <is>
          <t>SMEDJEBACKEN</t>
        </is>
      </c>
      <c r="F774" t="inlineStr">
        <is>
          <t>Bergvik skog väst AB</t>
        </is>
      </c>
      <c r="G774" t="n">
        <v>9.699999999999999</v>
      </c>
      <c r="H774" t="n">
        <v>1</v>
      </c>
      <c r="I774" t="n">
        <v>0</v>
      </c>
      <c r="J774" t="n">
        <v>1</v>
      </c>
      <c r="K774" t="n">
        <v>0</v>
      </c>
      <c r="L774" t="n">
        <v>0</v>
      </c>
      <c r="M774" t="n">
        <v>0</v>
      </c>
      <c r="N774" t="n">
        <v>0</v>
      </c>
      <c r="O774" t="n">
        <v>1</v>
      </c>
      <c r="P774" t="n">
        <v>0</v>
      </c>
      <c r="Q774" t="n">
        <v>1</v>
      </c>
      <c r="R774" s="2" t="inlineStr">
        <is>
          <t>Spillkråka</t>
        </is>
      </c>
      <c r="S774">
        <f>HYPERLINK("https://klasma.github.io/Logging_2061/artfynd/A 31803-2022 artfynd.xlsx", "A 31803-2022")</f>
        <v/>
      </c>
      <c r="T774">
        <f>HYPERLINK("https://klasma.github.io/Logging_2061/kartor/A 31803-2022 karta.png", "A 31803-2022")</f>
        <v/>
      </c>
      <c r="V774">
        <f>HYPERLINK("https://klasma.github.io/Logging_2061/klagomål/A 31803-2022 FSC-klagomål.docx", "A 31803-2022")</f>
        <v/>
      </c>
      <c r="W774">
        <f>HYPERLINK("https://klasma.github.io/Logging_2061/klagomålsmail/A 31803-2022 FSC-klagomål mail.docx", "A 31803-2022")</f>
        <v/>
      </c>
      <c r="X774">
        <f>HYPERLINK("https://klasma.github.io/Logging_2061/tillsyn/A 31803-2022 tillsynsbegäran.docx", "A 31803-2022")</f>
        <v/>
      </c>
      <c r="Y774">
        <f>HYPERLINK("https://klasma.github.io/Logging_2061/tillsynsmail/A 31803-2022 tillsynsbegäran mail.docx", "A 31803-2022")</f>
        <v/>
      </c>
      <c r="Z774">
        <f>HYPERLINK("https://klasma.github.io/Logging_2061/fåglar/A 31803-2022 prioriterade fågelarter.docx", "A 31803-2022")</f>
        <v/>
      </c>
    </row>
    <row r="775" ht="15" customHeight="1">
      <c r="A775" t="inlineStr">
        <is>
          <t>A 31793-2022</t>
        </is>
      </c>
      <c r="B775" s="1" t="n">
        <v>44776</v>
      </c>
      <c r="C775" s="1" t="n">
        <v>45706</v>
      </c>
      <c r="D775" t="inlineStr">
        <is>
          <t>DALARNAS LÄN</t>
        </is>
      </c>
      <c r="E775" t="inlineStr">
        <is>
          <t>SMEDJEBACKEN</t>
        </is>
      </c>
      <c r="F775" t="inlineStr">
        <is>
          <t>Bergvik skog väst AB</t>
        </is>
      </c>
      <c r="G775" t="n">
        <v>6.1</v>
      </c>
      <c r="H775" t="n">
        <v>1</v>
      </c>
      <c r="I775" t="n">
        <v>0</v>
      </c>
      <c r="J775" t="n">
        <v>0</v>
      </c>
      <c r="K775" t="n">
        <v>0</v>
      </c>
      <c r="L775" t="n">
        <v>0</v>
      </c>
      <c r="M775" t="n">
        <v>0</v>
      </c>
      <c r="N775" t="n">
        <v>0</v>
      </c>
      <c r="O775" t="n">
        <v>0</v>
      </c>
      <c r="P775" t="n">
        <v>0</v>
      </c>
      <c r="Q775" t="n">
        <v>1</v>
      </c>
      <c r="R775" s="2" t="inlineStr">
        <is>
          <t>Blåsippa</t>
        </is>
      </c>
      <c r="S775">
        <f>HYPERLINK("https://klasma.github.io/Logging_2061/artfynd/A 31793-2022 artfynd.xlsx", "A 31793-2022")</f>
        <v/>
      </c>
      <c r="T775">
        <f>HYPERLINK("https://klasma.github.io/Logging_2061/kartor/A 31793-2022 karta.png", "A 31793-2022")</f>
        <v/>
      </c>
      <c r="V775">
        <f>HYPERLINK("https://klasma.github.io/Logging_2061/klagomål/A 31793-2022 FSC-klagomål.docx", "A 31793-2022")</f>
        <v/>
      </c>
      <c r="W775">
        <f>HYPERLINK("https://klasma.github.io/Logging_2061/klagomålsmail/A 31793-2022 FSC-klagomål mail.docx", "A 31793-2022")</f>
        <v/>
      </c>
      <c r="X775">
        <f>HYPERLINK("https://klasma.github.io/Logging_2061/tillsyn/A 31793-2022 tillsynsbegäran.docx", "A 31793-2022")</f>
        <v/>
      </c>
      <c r="Y775">
        <f>HYPERLINK("https://klasma.github.io/Logging_2061/tillsynsmail/A 31793-2022 tillsynsbegäran mail.docx", "A 31793-2022")</f>
        <v/>
      </c>
    </row>
    <row r="776" ht="15" customHeight="1">
      <c r="A776" t="inlineStr">
        <is>
          <t>A 32572-2022</t>
        </is>
      </c>
      <c r="B776" s="1" t="n">
        <v>44783</v>
      </c>
      <c r="C776" s="1" t="n">
        <v>45706</v>
      </c>
      <c r="D776" t="inlineStr">
        <is>
          <t>DALARNAS LÄN</t>
        </is>
      </c>
      <c r="E776" t="inlineStr">
        <is>
          <t>ÄLVDALEN</t>
        </is>
      </c>
      <c r="G776" t="n">
        <v>5.7</v>
      </c>
      <c r="H776" t="n">
        <v>1</v>
      </c>
      <c r="I776" t="n">
        <v>0</v>
      </c>
      <c r="J776" t="n">
        <v>0</v>
      </c>
      <c r="K776" t="n">
        <v>1</v>
      </c>
      <c r="L776" t="n">
        <v>0</v>
      </c>
      <c r="M776" t="n">
        <v>0</v>
      </c>
      <c r="N776" t="n">
        <v>0</v>
      </c>
      <c r="O776" t="n">
        <v>1</v>
      </c>
      <c r="P776" t="n">
        <v>1</v>
      </c>
      <c r="Q776" t="n">
        <v>1</v>
      </c>
      <c r="R776" s="2" t="inlineStr">
        <is>
          <t>Knärot</t>
        </is>
      </c>
      <c r="S776">
        <f>HYPERLINK("https://klasma.github.io/Logging_2039/artfynd/A 32572-2022 artfynd.xlsx", "A 32572-2022")</f>
        <v/>
      </c>
      <c r="T776">
        <f>HYPERLINK("https://klasma.github.io/Logging_2039/kartor/A 32572-2022 karta.png", "A 32572-2022")</f>
        <v/>
      </c>
      <c r="U776">
        <f>HYPERLINK("https://klasma.github.io/Logging_2039/knärot/A 32572-2022 karta knärot.png", "A 32572-2022")</f>
        <v/>
      </c>
      <c r="V776">
        <f>HYPERLINK("https://klasma.github.io/Logging_2039/klagomål/A 32572-2022 FSC-klagomål.docx", "A 32572-2022")</f>
        <v/>
      </c>
      <c r="W776">
        <f>HYPERLINK("https://klasma.github.io/Logging_2039/klagomålsmail/A 32572-2022 FSC-klagomål mail.docx", "A 32572-2022")</f>
        <v/>
      </c>
      <c r="X776">
        <f>HYPERLINK("https://klasma.github.io/Logging_2039/tillsyn/A 32572-2022 tillsynsbegäran.docx", "A 32572-2022")</f>
        <v/>
      </c>
      <c r="Y776">
        <f>HYPERLINK("https://klasma.github.io/Logging_2039/tillsynsmail/A 32572-2022 tillsynsbegäran mail.docx", "A 32572-2022")</f>
        <v/>
      </c>
    </row>
    <row r="777" ht="15" customHeight="1">
      <c r="A777" t="inlineStr">
        <is>
          <t>A 33694-2022</t>
        </is>
      </c>
      <c r="B777" s="1" t="n">
        <v>44789</v>
      </c>
      <c r="C777" s="1" t="n">
        <v>45706</v>
      </c>
      <c r="D777" t="inlineStr">
        <is>
          <t>DALARNAS LÄN</t>
        </is>
      </c>
      <c r="E777" t="inlineStr">
        <is>
          <t>BORLÄNGE</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HYPERLINK("https://klasma.github.io/Logging_2081/artfynd/A 33694-2022 artfynd.xlsx", "A 33694-2022")</f>
        <v/>
      </c>
      <c r="T777">
        <f>HYPERLINK("https://klasma.github.io/Logging_2081/kartor/A 33694-2022 karta.png", "A 33694-2022")</f>
        <v/>
      </c>
      <c r="U777">
        <f>HYPERLINK("https://klasma.github.io/Logging_2081/knärot/A 33694-2022 karta knärot.png", "A 33694-2022")</f>
        <v/>
      </c>
      <c r="V777">
        <f>HYPERLINK("https://klasma.github.io/Logging_2081/klagomål/A 33694-2022 FSC-klagomål.docx", "A 33694-2022")</f>
        <v/>
      </c>
      <c r="W777">
        <f>HYPERLINK("https://klasma.github.io/Logging_2081/klagomålsmail/A 33694-2022 FSC-klagomål mail.docx", "A 33694-2022")</f>
        <v/>
      </c>
      <c r="X777">
        <f>HYPERLINK("https://klasma.github.io/Logging_2081/tillsyn/A 33694-2022 tillsynsbegäran.docx", "A 33694-2022")</f>
        <v/>
      </c>
      <c r="Y777">
        <f>HYPERLINK("https://klasma.github.io/Logging_2081/tillsynsmail/A 33694-2022 tillsynsbegäran mail.docx", "A 33694-2022")</f>
        <v/>
      </c>
    </row>
    <row r="778" ht="15" customHeight="1">
      <c r="A778" t="inlineStr">
        <is>
          <t>A 33859-2022</t>
        </is>
      </c>
      <c r="B778" s="1" t="n">
        <v>44790</v>
      </c>
      <c r="C778" s="1" t="n">
        <v>45706</v>
      </c>
      <c r="D778" t="inlineStr">
        <is>
          <t>DALARNAS LÄN</t>
        </is>
      </c>
      <c r="E778" t="inlineStr">
        <is>
          <t>MALUNG-SÄLEN</t>
        </is>
      </c>
      <c r="G778" t="n">
        <v>18.8</v>
      </c>
      <c r="H778" t="n">
        <v>1</v>
      </c>
      <c r="I778" t="n">
        <v>0</v>
      </c>
      <c r="J778" t="n">
        <v>1</v>
      </c>
      <c r="K778" t="n">
        <v>0</v>
      </c>
      <c r="L778" t="n">
        <v>0</v>
      </c>
      <c r="M778" t="n">
        <v>0</v>
      </c>
      <c r="N778" t="n">
        <v>0</v>
      </c>
      <c r="O778" t="n">
        <v>1</v>
      </c>
      <c r="P778" t="n">
        <v>0</v>
      </c>
      <c r="Q778" t="n">
        <v>1</v>
      </c>
      <c r="R778" s="2" t="inlineStr">
        <is>
          <t>Nordfladdermus</t>
        </is>
      </c>
      <c r="S778">
        <f>HYPERLINK("https://klasma.github.io/Logging_2023/artfynd/A 33859-2022 artfynd.xlsx", "A 33859-2022")</f>
        <v/>
      </c>
      <c r="T778">
        <f>HYPERLINK("https://klasma.github.io/Logging_2023/kartor/A 33859-2022 karta.png", "A 33859-2022")</f>
        <v/>
      </c>
      <c r="V778">
        <f>HYPERLINK("https://klasma.github.io/Logging_2023/klagomål/A 33859-2022 FSC-klagomål.docx", "A 33859-2022")</f>
        <v/>
      </c>
      <c r="W778">
        <f>HYPERLINK("https://klasma.github.io/Logging_2023/klagomålsmail/A 33859-2022 FSC-klagomål mail.docx", "A 33859-2022")</f>
        <v/>
      </c>
      <c r="X778">
        <f>HYPERLINK("https://klasma.github.io/Logging_2023/tillsyn/A 33859-2022 tillsynsbegäran.docx", "A 33859-2022")</f>
        <v/>
      </c>
      <c r="Y778">
        <f>HYPERLINK("https://klasma.github.io/Logging_2023/tillsynsmail/A 33859-2022 tillsynsbegäran mail.docx", "A 33859-2022")</f>
        <v/>
      </c>
    </row>
    <row r="779" ht="15" customHeight="1">
      <c r="A779" t="inlineStr">
        <is>
          <t>A 35370-2022</t>
        </is>
      </c>
      <c r="B779" s="1" t="n">
        <v>44798</v>
      </c>
      <c r="C779" s="1" t="n">
        <v>45706</v>
      </c>
      <c r="D779" t="inlineStr">
        <is>
          <t>DALARNAS LÄN</t>
        </is>
      </c>
      <c r="E779" t="inlineStr">
        <is>
          <t>BORLÄNGE</t>
        </is>
      </c>
      <c r="G779" t="n">
        <v>0.4</v>
      </c>
      <c r="H779" t="n">
        <v>0</v>
      </c>
      <c r="I779" t="n">
        <v>0</v>
      </c>
      <c r="J779" t="n">
        <v>1</v>
      </c>
      <c r="K779" t="n">
        <v>0</v>
      </c>
      <c r="L779" t="n">
        <v>0</v>
      </c>
      <c r="M779" t="n">
        <v>0</v>
      </c>
      <c r="N779" t="n">
        <v>0</v>
      </c>
      <c r="O779" t="n">
        <v>1</v>
      </c>
      <c r="P779" t="n">
        <v>0</v>
      </c>
      <c r="Q779" t="n">
        <v>1</v>
      </c>
      <c r="R779" s="2" t="inlineStr">
        <is>
          <t>Garnlav</t>
        </is>
      </c>
      <c r="S779">
        <f>HYPERLINK("https://klasma.github.io/Logging_2081/artfynd/A 35370-2022 artfynd.xlsx", "A 35370-2022")</f>
        <v/>
      </c>
      <c r="T779">
        <f>HYPERLINK("https://klasma.github.io/Logging_2081/kartor/A 35370-2022 karta.png", "A 35370-2022")</f>
        <v/>
      </c>
      <c r="V779">
        <f>HYPERLINK("https://klasma.github.io/Logging_2081/klagomål/A 35370-2022 FSC-klagomål.docx", "A 35370-2022")</f>
        <v/>
      </c>
      <c r="W779">
        <f>HYPERLINK("https://klasma.github.io/Logging_2081/klagomålsmail/A 35370-2022 FSC-klagomål mail.docx", "A 35370-2022")</f>
        <v/>
      </c>
      <c r="X779">
        <f>HYPERLINK("https://klasma.github.io/Logging_2081/tillsyn/A 35370-2022 tillsynsbegäran.docx", "A 35370-2022")</f>
        <v/>
      </c>
      <c r="Y779">
        <f>HYPERLINK("https://klasma.github.io/Logging_2081/tillsynsmail/A 35370-2022 tillsynsbegäran mail.docx", "A 35370-2022")</f>
        <v/>
      </c>
    </row>
    <row r="780" ht="15" customHeight="1">
      <c r="A780" t="inlineStr">
        <is>
          <t>A 35389-2022</t>
        </is>
      </c>
      <c r="B780" s="1" t="n">
        <v>44798</v>
      </c>
      <c r="C780" s="1" t="n">
        <v>45706</v>
      </c>
      <c r="D780" t="inlineStr">
        <is>
          <t>DALARNAS LÄN</t>
        </is>
      </c>
      <c r="E780" t="inlineStr">
        <is>
          <t>BORLÄNGE</t>
        </is>
      </c>
      <c r="G780" t="n">
        <v>0.5</v>
      </c>
      <c r="H780" t="n">
        <v>0</v>
      </c>
      <c r="I780" t="n">
        <v>0</v>
      </c>
      <c r="J780" t="n">
        <v>1</v>
      </c>
      <c r="K780" t="n">
        <v>0</v>
      </c>
      <c r="L780" t="n">
        <v>0</v>
      </c>
      <c r="M780" t="n">
        <v>0</v>
      </c>
      <c r="N780" t="n">
        <v>0</v>
      </c>
      <c r="O780" t="n">
        <v>1</v>
      </c>
      <c r="P780" t="n">
        <v>0</v>
      </c>
      <c r="Q780" t="n">
        <v>1</v>
      </c>
      <c r="R780" s="2" t="inlineStr">
        <is>
          <t>Garnlav</t>
        </is>
      </c>
      <c r="S780">
        <f>HYPERLINK("https://klasma.github.io/Logging_2081/artfynd/A 35389-2022 artfynd.xlsx", "A 35389-2022")</f>
        <v/>
      </c>
      <c r="T780">
        <f>HYPERLINK("https://klasma.github.io/Logging_2081/kartor/A 35389-2022 karta.png", "A 35389-2022")</f>
        <v/>
      </c>
      <c r="V780">
        <f>HYPERLINK("https://klasma.github.io/Logging_2081/klagomål/A 35389-2022 FSC-klagomål.docx", "A 35389-2022")</f>
        <v/>
      </c>
      <c r="W780">
        <f>HYPERLINK("https://klasma.github.io/Logging_2081/klagomålsmail/A 35389-2022 FSC-klagomål mail.docx", "A 35389-2022")</f>
        <v/>
      </c>
      <c r="X780">
        <f>HYPERLINK("https://klasma.github.io/Logging_2081/tillsyn/A 35389-2022 tillsynsbegäran.docx", "A 35389-2022")</f>
        <v/>
      </c>
      <c r="Y780">
        <f>HYPERLINK("https://klasma.github.io/Logging_2081/tillsynsmail/A 35389-2022 tillsynsbegäran mail.docx", "A 35389-2022")</f>
        <v/>
      </c>
    </row>
    <row r="781" ht="15" customHeight="1">
      <c r="A781" t="inlineStr">
        <is>
          <t>A 35910-2022</t>
        </is>
      </c>
      <c r="B781" s="1" t="n">
        <v>44802</v>
      </c>
      <c r="C781" s="1" t="n">
        <v>45706</v>
      </c>
      <c r="D781" t="inlineStr">
        <is>
          <t>DALARNAS LÄN</t>
        </is>
      </c>
      <c r="E781" t="inlineStr">
        <is>
          <t>SÄTER</t>
        </is>
      </c>
      <c r="F781" t="inlineStr">
        <is>
          <t>Bergvik skog väst AB</t>
        </is>
      </c>
      <c r="G781" t="n">
        <v>4.8</v>
      </c>
      <c r="H781" t="n">
        <v>0</v>
      </c>
      <c r="I781" t="n">
        <v>0</v>
      </c>
      <c r="J781" t="n">
        <v>0</v>
      </c>
      <c r="K781" t="n">
        <v>1</v>
      </c>
      <c r="L781" t="n">
        <v>0</v>
      </c>
      <c r="M781" t="n">
        <v>0</v>
      </c>
      <c r="N781" t="n">
        <v>0</v>
      </c>
      <c r="O781" t="n">
        <v>1</v>
      </c>
      <c r="P781" t="n">
        <v>1</v>
      </c>
      <c r="Q781" t="n">
        <v>1</v>
      </c>
      <c r="R781" s="2" t="inlineStr">
        <is>
          <t>Slåttergubbe</t>
        </is>
      </c>
      <c r="S781">
        <f>HYPERLINK("https://klasma.github.io/Logging_2082/artfynd/A 35910-2022 artfynd.xlsx", "A 35910-2022")</f>
        <v/>
      </c>
      <c r="T781">
        <f>HYPERLINK("https://klasma.github.io/Logging_2082/kartor/A 35910-2022 karta.png", "A 35910-2022")</f>
        <v/>
      </c>
      <c r="V781">
        <f>HYPERLINK("https://klasma.github.io/Logging_2082/klagomål/A 35910-2022 FSC-klagomål.docx", "A 35910-2022")</f>
        <v/>
      </c>
      <c r="W781">
        <f>HYPERLINK("https://klasma.github.io/Logging_2082/klagomålsmail/A 35910-2022 FSC-klagomål mail.docx", "A 35910-2022")</f>
        <v/>
      </c>
      <c r="X781">
        <f>HYPERLINK("https://klasma.github.io/Logging_2082/tillsyn/A 35910-2022 tillsynsbegäran.docx", "A 35910-2022")</f>
        <v/>
      </c>
      <c r="Y781">
        <f>HYPERLINK("https://klasma.github.io/Logging_2082/tillsynsmail/A 35910-2022 tillsynsbegäran mail.docx", "A 35910-2022")</f>
        <v/>
      </c>
    </row>
    <row r="782" ht="15" customHeight="1">
      <c r="A782" t="inlineStr">
        <is>
          <t>A 39419-2022</t>
        </is>
      </c>
      <c r="B782" s="1" t="n">
        <v>44818</v>
      </c>
      <c r="C782" s="1" t="n">
        <v>45706</v>
      </c>
      <c r="D782" t="inlineStr">
        <is>
          <t>DALARNAS LÄN</t>
        </is>
      </c>
      <c r="E782" t="inlineStr">
        <is>
          <t>ÄLVDALEN</t>
        </is>
      </c>
      <c r="G782" t="n">
        <v>4.3</v>
      </c>
      <c r="H782" t="n">
        <v>0</v>
      </c>
      <c r="I782" t="n">
        <v>0</v>
      </c>
      <c r="J782" t="n">
        <v>1</v>
      </c>
      <c r="K782" t="n">
        <v>0</v>
      </c>
      <c r="L782" t="n">
        <v>0</v>
      </c>
      <c r="M782" t="n">
        <v>0</v>
      </c>
      <c r="N782" t="n">
        <v>0</v>
      </c>
      <c r="O782" t="n">
        <v>1</v>
      </c>
      <c r="P782" t="n">
        <v>0</v>
      </c>
      <c r="Q782" t="n">
        <v>1</v>
      </c>
      <c r="R782" s="2" t="inlineStr">
        <is>
          <t>Lunglav</t>
        </is>
      </c>
      <c r="S782">
        <f>HYPERLINK("https://klasma.github.io/Logging_2039/artfynd/A 39419-2022 artfynd.xlsx", "A 39419-2022")</f>
        <v/>
      </c>
      <c r="T782">
        <f>HYPERLINK("https://klasma.github.io/Logging_2039/kartor/A 39419-2022 karta.png", "A 39419-2022")</f>
        <v/>
      </c>
      <c r="V782">
        <f>HYPERLINK("https://klasma.github.io/Logging_2039/klagomål/A 39419-2022 FSC-klagomål.docx", "A 39419-2022")</f>
        <v/>
      </c>
      <c r="W782">
        <f>HYPERLINK("https://klasma.github.io/Logging_2039/klagomålsmail/A 39419-2022 FSC-klagomål mail.docx", "A 39419-2022")</f>
        <v/>
      </c>
      <c r="X782">
        <f>HYPERLINK("https://klasma.github.io/Logging_2039/tillsyn/A 39419-2022 tillsynsbegäran.docx", "A 39419-2022")</f>
        <v/>
      </c>
      <c r="Y782">
        <f>HYPERLINK("https://klasma.github.io/Logging_2039/tillsynsmail/A 39419-2022 tillsynsbegäran mail.docx", "A 39419-2022")</f>
        <v/>
      </c>
    </row>
    <row r="783" ht="15" customHeight="1">
      <c r="A783" t="inlineStr">
        <is>
          <t>A 41028-2022</t>
        </is>
      </c>
      <c r="B783" s="1" t="n">
        <v>44825</v>
      </c>
      <c r="C783" s="1" t="n">
        <v>45706</v>
      </c>
      <c r="D783" t="inlineStr">
        <is>
          <t>DALARNAS LÄN</t>
        </is>
      </c>
      <c r="E783" t="inlineStr">
        <is>
          <t>LUDVIKA</t>
        </is>
      </c>
      <c r="F783" t="inlineStr">
        <is>
          <t>Naturvårdsverket</t>
        </is>
      </c>
      <c r="G783" t="n">
        <v>8.300000000000001</v>
      </c>
      <c r="H783" t="n">
        <v>0</v>
      </c>
      <c r="I783" t="n">
        <v>0</v>
      </c>
      <c r="J783" t="n">
        <v>1</v>
      </c>
      <c r="K783" t="n">
        <v>0</v>
      </c>
      <c r="L783" t="n">
        <v>0</v>
      </c>
      <c r="M783" t="n">
        <v>0</v>
      </c>
      <c r="N783" t="n">
        <v>0</v>
      </c>
      <c r="O783" t="n">
        <v>1</v>
      </c>
      <c r="P783" t="n">
        <v>0</v>
      </c>
      <c r="Q783" t="n">
        <v>1</v>
      </c>
      <c r="R783" s="2" t="inlineStr">
        <is>
          <t>Vårtsporigt stålskinn</t>
        </is>
      </c>
      <c r="S783">
        <f>HYPERLINK("https://klasma.github.io/Logging_2085/artfynd/A 41028-2022 artfynd.xlsx", "A 41028-2022")</f>
        <v/>
      </c>
      <c r="T783">
        <f>HYPERLINK("https://klasma.github.io/Logging_2085/kartor/A 41028-2022 karta.png", "A 41028-2022")</f>
        <v/>
      </c>
      <c r="V783">
        <f>HYPERLINK("https://klasma.github.io/Logging_2085/klagomål/A 41028-2022 FSC-klagomål.docx", "A 41028-2022")</f>
        <v/>
      </c>
      <c r="W783">
        <f>HYPERLINK("https://klasma.github.io/Logging_2085/klagomålsmail/A 41028-2022 FSC-klagomål mail.docx", "A 41028-2022")</f>
        <v/>
      </c>
      <c r="X783">
        <f>HYPERLINK("https://klasma.github.io/Logging_2085/tillsyn/A 41028-2022 tillsynsbegäran.docx", "A 41028-2022")</f>
        <v/>
      </c>
      <c r="Y783">
        <f>HYPERLINK("https://klasma.github.io/Logging_2085/tillsynsmail/A 41028-2022 tillsynsbegäran mail.docx", "A 41028-2022")</f>
        <v/>
      </c>
    </row>
    <row r="784" ht="15" customHeight="1">
      <c r="A784" t="inlineStr">
        <is>
          <t>A 41336-2022</t>
        </is>
      </c>
      <c r="B784" s="1" t="n">
        <v>44826</v>
      </c>
      <c r="C784" s="1" t="n">
        <v>45706</v>
      </c>
      <c r="D784" t="inlineStr">
        <is>
          <t>DALARNAS LÄN</t>
        </is>
      </c>
      <c r="E784" t="inlineStr">
        <is>
          <t>SMEDJEBACKEN</t>
        </is>
      </c>
      <c r="G784" t="n">
        <v>2.3</v>
      </c>
      <c r="H784" t="n">
        <v>1</v>
      </c>
      <c r="I784" t="n">
        <v>0</v>
      </c>
      <c r="J784" t="n">
        <v>1</v>
      </c>
      <c r="K784" t="n">
        <v>0</v>
      </c>
      <c r="L784" t="n">
        <v>0</v>
      </c>
      <c r="M784" t="n">
        <v>0</v>
      </c>
      <c r="N784" t="n">
        <v>0</v>
      </c>
      <c r="O784" t="n">
        <v>1</v>
      </c>
      <c r="P784" t="n">
        <v>0</v>
      </c>
      <c r="Q784" t="n">
        <v>1</v>
      </c>
      <c r="R784" s="2" t="inlineStr">
        <is>
          <t>Spillkråka</t>
        </is>
      </c>
      <c r="S784">
        <f>HYPERLINK("https://klasma.github.io/Logging_2061/artfynd/A 41336-2022 artfynd.xlsx", "A 41336-2022")</f>
        <v/>
      </c>
      <c r="T784">
        <f>HYPERLINK("https://klasma.github.io/Logging_2061/kartor/A 41336-2022 karta.png", "A 41336-2022")</f>
        <v/>
      </c>
      <c r="V784">
        <f>HYPERLINK("https://klasma.github.io/Logging_2061/klagomål/A 41336-2022 FSC-klagomål.docx", "A 41336-2022")</f>
        <v/>
      </c>
      <c r="W784">
        <f>HYPERLINK("https://klasma.github.io/Logging_2061/klagomålsmail/A 41336-2022 FSC-klagomål mail.docx", "A 41336-2022")</f>
        <v/>
      </c>
      <c r="X784">
        <f>HYPERLINK("https://klasma.github.io/Logging_2061/tillsyn/A 41336-2022 tillsynsbegäran.docx", "A 41336-2022")</f>
        <v/>
      </c>
      <c r="Y784">
        <f>HYPERLINK("https://klasma.github.io/Logging_2061/tillsynsmail/A 41336-2022 tillsynsbegäran mail.docx", "A 41336-2022")</f>
        <v/>
      </c>
      <c r="Z784">
        <f>HYPERLINK("https://klasma.github.io/Logging_2061/fåglar/A 41336-2022 prioriterade fågelarter.docx", "A 41336-2022")</f>
        <v/>
      </c>
    </row>
    <row r="785" ht="15" customHeight="1">
      <c r="A785" t="inlineStr">
        <is>
          <t>A 41584-2022</t>
        </is>
      </c>
      <c r="B785" s="1" t="n">
        <v>44827</v>
      </c>
      <c r="C785" s="1" t="n">
        <v>45706</v>
      </c>
      <c r="D785" t="inlineStr">
        <is>
          <t>DALARNAS LÄN</t>
        </is>
      </c>
      <c r="E785" t="inlineStr">
        <is>
          <t>SMEDJEBACKEN</t>
        </is>
      </c>
      <c r="G785" t="n">
        <v>8.699999999999999</v>
      </c>
      <c r="H785" t="n">
        <v>0</v>
      </c>
      <c r="I785" t="n">
        <v>0</v>
      </c>
      <c r="J785" t="n">
        <v>0</v>
      </c>
      <c r="K785" t="n">
        <v>1</v>
      </c>
      <c r="L785" t="n">
        <v>0</v>
      </c>
      <c r="M785" t="n">
        <v>0</v>
      </c>
      <c r="N785" t="n">
        <v>0</v>
      </c>
      <c r="O785" t="n">
        <v>1</v>
      </c>
      <c r="P785" t="n">
        <v>1</v>
      </c>
      <c r="Q785" t="n">
        <v>1</v>
      </c>
      <c r="R785" s="2" t="inlineStr">
        <is>
          <t>Gaffelskinn</t>
        </is>
      </c>
      <c r="S785">
        <f>HYPERLINK("https://klasma.github.io/Logging_2061/artfynd/A 41584-2022 artfynd.xlsx", "A 41584-2022")</f>
        <v/>
      </c>
      <c r="T785">
        <f>HYPERLINK("https://klasma.github.io/Logging_2061/kartor/A 41584-2022 karta.png", "A 41584-2022")</f>
        <v/>
      </c>
      <c r="V785">
        <f>HYPERLINK("https://klasma.github.io/Logging_2061/klagomål/A 41584-2022 FSC-klagomål.docx", "A 41584-2022")</f>
        <v/>
      </c>
      <c r="W785">
        <f>HYPERLINK("https://klasma.github.io/Logging_2061/klagomålsmail/A 41584-2022 FSC-klagomål mail.docx", "A 41584-2022")</f>
        <v/>
      </c>
      <c r="X785">
        <f>HYPERLINK("https://klasma.github.io/Logging_2061/tillsyn/A 41584-2022 tillsynsbegäran.docx", "A 41584-2022")</f>
        <v/>
      </c>
      <c r="Y785">
        <f>HYPERLINK("https://klasma.github.io/Logging_2061/tillsynsmail/A 41584-2022 tillsynsbegäran mail.docx", "A 41584-2022")</f>
        <v/>
      </c>
    </row>
    <row r="786" ht="15" customHeight="1">
      <c r="A786" t="inlineStr">
        <is>
          <t>A 41873-2022</t>
        </is>
      </c>
      <c r="B786" s="1" t="n">
        <v>44829</v>
      </c>
      <c r="C786" s="1" t="n">
        <v>45706</v>
      </c>
      <c r="D786" t="inlineStr">
        <is>
          <t>DALARNAS LÄN</t>
        </is>
      </c>
      <c r="E786" t="inlineStr">
        <is>
          <t>LEKSAND</t>
        </is>
      </c>
      <c r="G786" t="n">
        <v>2.1</v>
      </c>
      <c r="H786" t="n">
        <v>1</v>
      </c>
      <c r="I786" t="n">
        <v>0</v>
      </c>
      <c r="J786" t="n">
        <v>1</v>
      </c>
      <c r="K786" t="n">
        <v>0</v>
      </c>
      <c r="L786" t="n">
        <v>0</v>
      </c>
      <c r="M786" t="n">
        <v>0</v>
      </c>
      <c r="N786" t="n">
        <v>0</v>
      </c>
      <c r="O786" t="n">
        <v>1</v>
      </c>
      <c r="P786" t="n">
        <v>0</v>
      </c>
      <c r="Q786" t="n">
        <v>1</v>
      </c>
      <c r="R786" s="2" t="inlineStr">
        <is>
          <t>Spillkråka</t>
        </is>
      </c>
      <c r="S786">
        <f>HYPERLINK("https://klasma.github.io/Logging_2029/artfynd/A 41873-2022 artfynd.xlsx", "A 41873-2022")</f>
        <v/>
      </c>
      <c r="T786">
        <f>HYPERLINK("https://klasma.github.io/Logging_2029/kartor/A 41873-2022 karta.png", "A 41873-2022")</f>
        <v/>
      </c>
      <c r="V786">
        <f>HYPERLINK("https://klasma.github.io/Logging_2029/klagomål/A 41873-2022 FSC-klagomål.docx", "A 41873-2022")</f>
        <v/>
      </c>
      <c r="W786">
        <f>HYPERLINK("https://klasma.github.io/Logging_2029/klagomålsmail/A 41873-2022 FSC-klagomål mail.docx", "A 41873-2022")</f>
        <v/>
      </c>
      <c r="X786">
        <f>HYPERLINK("https://klasma.github.io/Logging_2029/tillsyn/A 41873-2022 tillsynsbegäran.docx", "A 41873-2022")</f>
        <v/>
      </c>
      <c r="Y786">
        <f>HYPERLINK("https://klasma.github.io/Logging_2029/tillsynsmail/A 41873-2022 tillsynsbegäran mail.docx", "A 41873-2022")</f>
        <v/>
      </c>
      <c r="Z786">
        <f>HYPERLINK("https://klasma.github.io/Logging_2029/fåglar/A 41873-2022 prioriterade fågelarter.docx", "A 41873-2022")</f>
        <v/>
      </c>
    </row>
    <row r="787" ht="15" customHeight="1">
      <c r="A787" t="inlineStr">
        <is>
          <t>A 41870-2022</t>
        </is>
      </c>
      <c r="B787" s="1" t="n">
        <v>44829</v>
      </c>
      <c r="C787" s="1" t="n">
        <v>45706</v>
      </c>
      <c r="D787" t="inlineStr">
        <is>
          <t>DALARNAS LÄN</t>
        </is>
      </c>
      <c r="E787" t="inlineStr">
        <is>
          <t>SMEDJEBACKEN</t>
        </is>
      </c>
      <c r="G787" t="n">
        <v>0.7</v>
      </c>
      <c r="H787" t="n">
        <v>0</v>
      </c>
      <c r="I787" t="n">
        <v>1</v>
      </c>
      <c r="J787" t="n">
        <v>0</v>
      </c>
      <c r="K787" t="n">
        <v>0</v>
      </c>
      <c r="L787" t="n">
        <v>0</v>
      </c>
      <c r="M787" t="n">
        <v>0</v>
      </c>
      <c r="N787" t="n">
        <v>0</v>
      </c>
      <c r="O787" t="n">
        <v>0</v>
      </c>
      <c r="P787" t="n">
        <v>0</v>
      </c>
      <c r="Q787" t="n">
        <v>1</v>
      </c>
      <c r="R787" s="2" t="inlineStr">
        <is>
          <t>Dropptaggsvamp</t>
        </is>
      </c>
      <c r="S787">
        <f>HYPERLINK("https://klasma.github.io/Logging_2061/artfynd/A 41870-2022 artfynd.xlsx", "A 41870-2022")</f>
        <v/>
      </c>
      <c r="T787">
        <f>HYPERLINK("https://klasma.github.io/Logging_2061/kartor/A 41870-2022 karta.png", "A 41870-2022")</f>
        <v/>
      </c>
      <c r="V787">
        <f>HYPERLINK("https://klasma.github.io/Logging_2061/klagomål/A 41870-2022 FSC-klagomål.docx", "A 41870-2022")</f>
        <v/>
      </c>
      <c r="W787">
        <f>HYPERLINK("https://klasma.github.io/Logging_2061/klagomålsmail/A 41870-2022 FSC-klagomål mail.docx", "A 41870-2022")</f>
        <v/>
      </c>
      <c r="X787">
        <f>HYPERLINK("https://klasma.github.io/Logging_2061/tillsyn/A 41870-2022 tillsynsbegäran.docx", "A 41870-2022")</f>
        <v/>
      </c>
      <c r="Y787">
        <f>HYPERLINK("https://klasma.github.io/Logging_2061/tillsynsmail/A 41870-2022 tillsynsbegäran mail.docx", "A 41870-2022")</f>
        <v/>
      </c>
    </row>
    <row r="788" ht="15" customHeight="1">
      <c r="A788" t="inlineStr">
        <is>
          <t>A 42558-2022</t>
        </is>
      </c>
      <c r="B788" s="1" t="n">
        <v>44831</v>
      </c>
      <c r="C788" s="1" t="n">
        <v>45706</v>
      </c>
      <c r="D788" t="inlineStr">
        <is>
          <t>DALARNAS LÄN</t>
        </is>
      </c>
      <c r="E788" t="inlineStr">
        <is>
          <t>LUDVIKA</t>
        </is>
      </c>
      <c r="F788" t="inlineStr">
        <is>
          <t>Naturvårdsverket</t>
        </is>
      </c>
      <c r="G788" t="n">
        <v>4.9</v>
      </c>
      <c r="H788" t="n">
        <v>0</v>
      </c>
      <c r="I788" t="n">
        <v>0</v>
      </c>
      <c r="J788" t="n">
        <v>0</v>
      </c>
      <c r="K788" t="n">
        <v>1</v>
      </c>
      <c r="L788" t="n">
        <v>0</v>
      </c>
      <c r="M788" t="n">
        <v>0</v>
      </c>
      <c r="N788" t="n">
        <v>0</v>
      </c>
      <c r="O788" t="n">
        <v>1</v>
      </c>
      <c r="P788" t="n">
        <v>1</v>
      </c>
      <c r="Q788" t="n">
        <v>1</v>
      </c>
      <c r="R788" s="2" t="inlineStr">
        <is>
          <t>Gräddporing</t>
        </is>
      </c>
      <c r="S788">
        <f>HYPERLINK("https://klasma.github.io/Logging_2085/artfynd/A 42558-2022 artfynd.xlsx", "A 42558-2022")</f>
        <v/>
      </c>
      <c r="T788">
        <f>HYPERLINK("https://klasma.github.io/Logging_2085/kartor/A 42558-2022 karta.png", "A 42558-2022")</f>
        <v/>
      </c>
      <c r="V788">
        <f>HYPERLINK("https://klasma.github.io/Logging_2085/klagomål/A 42558-2022 FSC-klagomål.docx", "A 42558-2022")</f>
        <v/>
      </c>
      <c r="W788">
        <f>HYPERLINK("https://klasma.github.io/Logging_2085/klagomålsmail/A 42558-2022 FSC-klagomål mail.docx", "A 42558-2022")</f>
        <v/>
      </c>
      <c r="X788">
        <f>HYPERLINK("https://klasma.github.io/Logging_2085/tillsyn/A 42558-2022 tillsynsbegäran.docx", "A 42558-2022")</f>
        <v/>
      </c>
      <c r="Y788">
        <f>HYPERLINK("https://klasma.github.io/Logging_2085/tillsynsmail/A 42558-2022 tillsynsbegäran mail.docx", "A 42558-2022")</f>
        <v/>
      </c>
    </row>
    <row r="789" ht="15" customHeight="1">
      <c r="A789" t="inlineStr">
        <is>
          <t>A 42758-2022</t>
        </is>
      </c>
      <c r="B789" s="1" t="n">
        <v>44832</v>
      </c>
      <c r="C789" s="1" t="n">
        <v>45706</v>
      </c>
      <c r="D789" t="inlineStr">
        <is>
          <t>DALARNAS LÄN</t>
        </is>
      </c>
      <c r="E789" t="inlineStr">
        <is>
          <t>LUDVIKA</t>
        </is>
      </c>
      <c r="F789" t="inlineStr">
        <is>
          <t>Bergvik skog väst AB</t>
        </is>
      </c>
      <c r="G789" t="n">
        <v>1.6</v>
      </c>
      <c r="H789" t="n">
        <v>0</v>
      </c>
      <c r="I789" t="n">
        <v>0</v>
      </c>
      <c r="J789" t="n">
        <v>0</v>
      </c>
      <c r="K789" t="n">
        <v>1</v>
      </c>
      <c r="L789" t="n">
        <v>0</v>
      </c>
      <c r="M789" t="n">
        <v>0</v>
      </c>
      <c r="N789" t="n">
        <v>0</v>
      </c>
      <c r="O789" t="n">
        <v>1</v>
      </c>
      <c r="P789" t="n">
        <v>1</v>
      </c>
      <c r="Q789" t="n">
        <v>1</v>
      </c>
      <c r="R789" s="2" t="inlineStr">
        <is>
          <t>Aspgelélav</t>
        </is>
      </c>
      <c r="S789">
        <f>HYPERLINK("https://klasma.github.io/Logging_2085/artfynd/A 42758-2022 artfynd.xlsx", "A 42758-2022")</f>
        <v/>
      </c>
      <c r="T789">
        <f>HYPERLINK("https://klasma.github.io/Logging_2085/kartor/A 42758-2022 karta.png", "A 42758-2022")</f>
        <v/>
      </c>
      <c r="V789">
        <f>HYPERLINK("https://klasma.github.io/Logging_2085/klagomål/A 42758-2022 FSC-klagomål.docx", "A 42758-2022")</f>
        <v/>
      </c>
      <c r="W789">
        <f>HYPERLINK("https://klasma.github.io/Logging_2085/klagomålsmail/A 42758-2022 FSC-klagomål mail.docx", "A 42758-2022")</f>
        <v/>
      </c>
      <c r="X789">
        <f>HYPERLINK("https://klasma.github.io/Logging_2085/tillsyn/A 42758-2022 tillsynsbegäran.docx", "A 42758-2022")</f>
        <v/>
      </c>
      <c r="Y789">
        <f>HYPERLINK("https://klasma.github.io/Logging_2085/tillsynsmail/A 42758-2022 tillsynsbegäran mail.docx", "A 42758-2022")</f>
        <v/>
      </c>
    </row>
    <row r="790" ht="15" customHeight="1">
      <c r="A790" t="inlineStr">
        <is>
          <t>A 43639-2022</t>
        </is>
      </c>
      <c r="B790" s="1" t="n">
        <v>44837</v>
      </c>
      <c r="C790" s="1" t="n">
        <v>45706</v>
      </c>
      <c r="D790" t="inlineStr">
        <is>
          <t>DALARNAS LÄN</t>
        </is>
      </c>
      <c r="E790" t="inlineStr">
        <is>
          <t>BORLÄNGE</t>
        </is>
      </c>
      <c r="G790" t="n">
        <v>2.6</v>
      </c>
      <c r="H790" t="n">
        <v>1</v>
      </c>
      <c r="I790" t="n">
        <v>0</v>
      </c>
      <c r="J790" t="n">
        <v>0</v>
      </c>
      <c r="K790" t="n">
        <v>0</v>
      </c>
      <c r="L790" t="n">
        <v>0</v>
      </c>
      <c r="M790" t="n">
        <v>0</v>
      </c>
      <c r="N790" t="n">
        <v>0</v>
      </c>
      <c r="O790" t="n">
        <v>0</v>
      </c>
      <c r="P790" t="n">
        <v>0</v>
      </c>
      <c r="Q790" t="n">
        <v>1</v>
      </c>
      <c r="R790" s="2" t="inlineStr">
        <is>
          <t>Gullviva</t>
        </is>
      </c>
      <c r="S790">
        <f>HYPERLINK("https://klasma.github.io/Logging_2081/artfynd/A 43639-2022 artfynd.xlsx", "A 43639-2022")</f>
        <v/>
      </c>
      <c r="T790">
        <f>HYPERLINK("https://klasma.github.io/Logging_2081/kartor/A 43639-2022 karta.png", "A 43639-2022")</f>
        <v/>
      </c>
      <c r="V790">
        <f>HYPERLINK("https://klasma.github.io/Logging_2081/klagomål/A 43639-2022 FSC-klagomål.docx", "A 43639-2022")</f>
        <v/>
      </c>
      <c r="W790">
        <f>HYPERLINK("https://klasma.github.io/Logging_2081/klagomålsmail/A 43639-2022 FSC-klagomål mail.docx", "A 43639-2022")</f>
        <v/>
      </c>
      <c r="X790">
        <f>HYPERLINK("https://klasma.github.io/Logging_2081/tillsyn/A 43639-2022 tillsynsbegäran.docx", "A 43639-2022")</f>
        <v/>
      </c>
      <c r="Y790">
        <f>HYPERLINK("https://klasma.github.io/Logging_2081/tillsynsmail/A 43639-2022 tillsynsbegäran mail.docx", "A 43639-2022")</f>
        <v/>
      </c>
    </row>
    <row r="791" ht="15" customHeight="1">
      <c r="A791" t="inlineStr">
        <is>
          <t>A 43651-2022</t>
        </is>
      </c>
      <c r="B791" s="1" t="n">
        <v>44837</v>
      </c>
      <c r="C791" s="1" t="n">
        <v>45706</v>
      </c>
      <c r="D791" t="inlineStr">
        <is>
          <t>DALARNAS LÄN</t>
        </is>
      </c>
      <c r="E791" t="inlineStr">
        <is>
          <t>ÄLVDALEN</t>
        </is>
      </c>
      <c r="F791" t="inlineStr">
        <is>
          <t>Bergvik skog väst AB</t>
        </is>
      </c>
      <c r="G791" t="n">
        <v>1.6</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43651-2022 artfynd.xlsx", "A 43651-2022")</f>
        <v/>
      </c>
      <c r="T791">
        <f>HYPERLINK("https://klasma.github.io/Logging_2039/kartor/A 43651-2022 karta.png", "A 43651-2022")</f>
        <v/>
      </c>
      <c r="V791">
        <f>HYPERLINK("https://klasma.github.io/Logging_2039/klagomål/A 43651-2022 FSC-klagomål.docx", "A 43651-2022")</f>
        <v/>
      </c>
      <c r="W791">
        <f>HYPERLINK("https://klasma.github.io/Logging_2039/klagomålsmail/A 43651-2022 FSC-klagomål mail.docx", "A 43651-2022")</f>
        <v/>
      </c>
      <c r="X791">
        <f>HYPERLINK("https://klasma.github.io/Logging_2039/tillsyn/A 43651-2022 tillsynsbegäran.docx", "A 43651-2022")</f>
        <v/>
      </c>
      <c r="Y791">
        <f>HYPERLINK("https://klasma.github.io/Logging_2039/tillsynsmail/A 43651-2022 tillsynsbegäran mail.docx", "A 43651-2022")</f>
        <v/>
      </c>
    </row>
    <row r="792" ht="15" customHeight="1">
      <c r="A792" t="inlineStr">
        <is>
          <t>A 47962-2022</t>
        </is>
      </c>
      <c r="B792" s="1" t="n">
        <v>44855</v>
      </c>
      <c r="C792" s="1" t="n">
        <v>45706</v>
      </c>
      <c r="D792" t="inlineStr">
        <is>
          <t>DALARNAS LÄN</t>
        </is>
      </c>
      <c r="E792" t="inlineStr">
        <is>
          <t>RÄTTVIK</t>
        </is>
      </c>
      <c r="F792" t="inlineStr">
        <is>
          <t>Sveaskog</t>
        </is>
      </c>
      <c r="G792" t="n">
        <v>5.9</v>
      </c>
      <c r="H792" t="n">
        <v>0</v>
      </c>
      <c r="I792" t="n">
        <v>0</v>
      </c>
      <c r="J792" t="n">
        <v>1</v>
      </c>
      <c r="K792" t="n">
        <v>0</v>
      </c>
      <c r="L792" t="n">
        <v>0</v>
      </c>
      <c r="M792" t="n">
        <v>0</v>
      </c>
      <c r="N792" t="n">
        <v>0</v>
      </c>
      <c r="O792" t="n">
        <v>1</v>
      </c>
      <c r="P792" t="n">
        <v>0</v>
      </c>
      <c r="Q792" t="n">
        <v>1</v>
      </c>
      <c r="R792" s="2" t="inlineStr">
        <is>
          <t>Vedflamlav</t>
        </is>
      </c>
      <c r="S792">
        <f>HYPERLINK("https://klasma.github.io/Logging_2031/artfynd/A 47962-2022 artfynd.xlsx", "A 47962-2022")</f>
        <v/>
      </c>
      <c r="T792">
        <f>HYPERLINK("https://klasma.github.io/Logging_2031/kartor/A 47962-2022 karta.png", "A 47962-2022")</f>
        <v/>
      </c>
      <c r="V792">
        <f>HYPERLINK("https://klasma.github.io/Logging_2031/klagomål/A 47962-2022 FSC-klagomål.docx", "A 47962-2022")</f>
        <v/>
      </c>
      <c r="W792">
        <f>HYPERLINK("https://klasma.github.io/Logging_2031/klagomålsmail/A 47962-2022 FSC-klagomål mail.docx", "A 47962-2022")</f>
        <v/>
      </c>
      <c r="X792">
        <f>HYPERLINK("https://klasma.github.io/Logging_2031/tillsyn/A 47962-2022 tillsynsbegäran.docx", "A 47962-2022")</f>
        <v/>
      </c>
      <c r="Y792">
        <f>HYPERLINK("https://klasma.github.io/Logging_2031/tillsynsmail/A 47962-2022 tillsynsbegäran mail.docx", "A 47962-2022")</f>
        <v/>
      </c>
    </row>
    <row r="793" ht="15" customHeight="1">
      <c r="A793" t="inlineStr">
        <is>
          <t>A 48135-2022</t>
        </is>
      </c>
      <c r="B793" s="1" t="n">
        <v>44857</v>
      </c>
      <c r="C793" s="1" t="n">
        <v>45706</v>
      </c>
      <c r="D793" t="inlineStr">
        <is>
          <t>DALARNAS LÄN</t>
        </is>
      </c>
      <c r="E793" t="inlineStr">
        <is>
          <t>HEDEMORA</t>
        </is>
      </c>
      <c r="F793" t="inlineStr">
        <is>
          <t>Sveaskog</t>
        </is>
      </c>
      <c r="G793" t="n">
        <v>5.6</v>
      </c>
      <c r="H793" t="n">
        <v>0</v>
      </c>
      <c r="I793" t="n">
        <v>0</v>
      </c>
      <c r="J793" t="n">
        <v>1</v>
      </c>
      <c r="K793" t="n">
        <v>0</v>
      </c>
      <c r="L793" t="n">
        <v>0</v>
      </c>
      <c r="M793" t="n">
        <v>0</v>
      </c>
      <c r="N793" t="n">
        <v>0</v>
      </c>
      <c r="O793" t="n">
        <v>1</v>
      </c>
      <c r="P793" t="n">
        <v>0</v>
      </c>
      <c r="Q793" t="n">
        <v>1</v>
      </c>
      <c r="R793" s="2" t="inlineStr">
        <is>
          <t>Skrovellav</t>
        </is>
      </c>
      <c r="S793">
        <f>HYPERLINK("https://klasma.github.io/Logging_2083/artfynd/A 48135-2022 artfynd.xlsx", "A 48135-2022")</f>
        <v/>
      </c>
      <c r="T793">
        <f>HYPERLINK("https://klasma.github.io/Logging_2083/kartor/A 48135-2022 karta.png", "A 48135-2022")</f>
        <v/>
      </c>
      <c r="V793">
        <f>HYPERLINK("https://klasma.github.io/Logging_2083/klagomål/A 48135-2022 FSC-klagomål.docx", "A 48135-2022")</f>
        <v/>
      </c>
      <c r="W793">
        <f>HYPERLINK("https://klasma.github.io/Logging_2083/klagomålsmail/A 48135-2022 FSC-klagomål mail.docx", "A 48135-2022")</f>
        <v/>
      </c>
      <c r="X793">
        <f>HYPERLINK("https://klasma.github.io/Logging_2083/tillsyn/A 48135-2022 tillsynsbegäran.docx", "A 48135-2022")</f>
        <v/>
      </c>
      <c r="Y793">
        <f>HYPERLINK("https://klasma.github.io/Logging_2083/tillsynsmail/A 48135-2022 tillsynsbegäran mail.docx", "A 48135-2022")</f>
        <v/>
      </c>
    </row>
    <row r="794" ht="15" customHeight="1">
      <c r="A794" t="inlineStr">
        <is>
          <t>A 48766-2022</t>
        </is>
      </c>
      <c r="B794" s="1" t="n">
        <v>44859</v>
      </c>
      <c r="C794" s="1" t="n">
        <v>45706</v>
      </c>
      <c r="D794" t="inlineStr">
        <is>
          <t>DALARNAS LÄN</t>
        </is>
      </c>
      <c r="E794" t="inlineStr">
        <is>
          <t>ORSA</t>
        </is>
      </c>
      <c r="F794" t="inlineStr">
        <is>
          <t>Allmännings- och besparingsskogar</t>
        </is>
      </c>
      <c r="G794" t="n">
        <v>3.1</v>
      </c>
      <c r="H794" t="n">
        <v>0</v>
      </c>
      <c r="I794" t="n">
        <v>0</v>
      </c>
      <c r="J794" t="n">
        <v>1</v>
      </c>
      <c r="K794" t="n">
        <v>0</v>
      </c>
      <c r="L794" t="n">
        <v>0</v>
      </c>
      <c r="M794" t="n">
        <v>0</v>
      </c>
      <c r="N794" t="n">
        <v>0</v>
      </c>
      <c r="O794" t="n">
        <v>1</v>
      </c>
      <c r="P794" t="n">
        <v>0</v>
      </c>
      <c r="Q794" t="n">
        <v>1</v>
      </c>
      <c r="R794" s="2" t="inlineStr">
        <is>
          <t>Garnlav</t>
        </is>
      </c>
      <c r="S794">
        <f>HYPERLINK("https://klasma.github.io/Logging_2034/artfynd/A 48766-2022 artfynd.xlsx", "A 48766-2022")</f>
        <v/>
      </c>
      <c r="T794">
        <f>HYPERLINK("https://klasma.github.io/Logging_2034/kartor/A 48766-2022 karta.png", "A 48766-2022")</f>
        <v/>
      </c>
      <c r="V794">
        <f>HYPERLINK("https://klasma.github.io/Logging_2034/klagomål/A 48766-2022 FSC-klagomål.docx", "A 48766-2022")</f>
        <v/>
      </c>
      <c r="W794">
        <f>HYPERLINK("https://klasma.github.io/Logging_2034/klagomålsmail/A 48766-2022 FSC-klagomål mail.docx", "A 48766-2022")</f>
        <v/>
      </c>
      <c r="X794">
        <f>HYPERLINK("https://klasma.github.io/Logging_2034/tillsyn/A 48766-2022 tillsynsbegäran.docx", "A 48766-2022")</f>
        <v/>
      </c>
      <c r="Y794">
        <f>HYPERLINK("https://klasma.github.io/Logging_2034/tillsynsmail/A 48766-2022 tillsynsbegäran mail.docx", "A 48766-2022")</f>
        <v/>
      </c>
    </row>
    <row r="795" ht="15" customHeight="1">
      <c r="A795" t="inlineStr">
        <is>
          <t>A 48842-2022</t>
        </is>
      </c>
      <c r="B795" s="1" t="n">
        <v>44859</v>
      </c>
      <c r="C795" s="1" t="n">
        <v>45706</v>
      </c>
      <c r="D795" t="inlineStr">
        <is>
          <t>DALARNAS LÄN</t>
        </is>
      </c>
      <c r="E795" t="inlineStr">
        <is>
          <t>MALUNG-SÄLEN</t>
        </is>
      </c>
      <c r="G795" t="n">
        <v>4.8</v>
      </c>
      <c r="H795" t="n">
        <v>0</v>
      </c>
      <c r="I795" t="n">
        <v>0</v>
      </c>
      <c r="J795" t="n">
        <v>1</v>
      </c>
      <c r="K795" t="n">
        <v>0</v>
      </c>
      <c r="L795" t="n">
        <v>0</v>
      </c>
      <c r="M795" t="n">
        <v>0</v>
      </c>
      <c r="N795" t="n">
        <v>0</v>
      </c>
      <c r="O795" t="n">
        <v>1</v>
      </c>
      <c r="P795" t="n">
        <v>0</v>
      </c>
      <c r="Q795" t="n">
        <v>1</v>
      </c>
      <c r="R795" s="2" t="inlineStr">
        <is>
          <t>Gränsticka</t>
        </is>
      </c>
      <c r="S795">
        <f>HYPERLINK("https://klasma.github.io/Logging_2023/artfynd/A 48842-2022 artfynd.xlsx", "A 48842-2022")</f>
        <v/>
      </c>
      <c r="T795">
        <f>HYPERLINK("https://klasma.github.io/Logging_2023/kartor/A 48842-2022 karta.png", "A 48842-2022")</f>
        <v/>
      </c>
      <c r="V795">
        <f>HYPERLINK("https://klasma.github.io/Logging_2023/klagomål/A 48842-2022 FSC-klagomål.docx", "A 48842-2022")</f>
        <v/>
      </c>
      <c r="W795">
        <f>HYPERLINK("https://klasma.github.io/Logging_2023/klagomålsmail/A 48842-2022 FSC-klagomål mail.docx", "A 48842-2022")</f>
        <v/>
      </c>
      <c r="X795">
        <f>HYPERLINK("https://klasma.github.io/Logging_2023/tillsyn/A 48842-2022 tillsynsbegäran.docx", "A 48842-2022")</f>
        <v/>
      </c>
      <c r="Y795">
        <f>HYPERLINK("https://klasma.github.io/Logging_2023/tillsynsmail/A 48842-2022 tillsynsbegäran mail.docx", "A 48842-2022")</f>
        <v/>
      </c>
    </row>
    <row r="796" ht="15" customHeight="1">
      <c r="A796" t="inlineStr">
        <is>
          <t>A 49889-2022</t>
        </is>
      </c>
      <c r="B796" s="1" t="n">
        <v>44864</v>
      </c>
      <c r="C796" s="1" t="n">
        <v>45706</v>
      </c>
      <c r="D796" t="inlineStr">
        <is>
          <t>DALARNAS LÄN</t>
        </is>
      </c>
      <c r="E796" t="inlineStr">
        <is>
          <t>HEDEMORA</t>
        </is>
      </c>
      <c r="F796" t="inlineStr">
        <is>
          <t>Sveaskog</t>
        </is>
      </c>
      <c r="G796" t="n">
        <v>6.8</v>
      </c>
      <c r="H796" t="n">
        <v>1</v>
      </c>
      <c r="I796" t="n">
        <v>0</v>
      </c>
      <c r="J796" t="n">
        <v>0</v>
      </c>
      <c r="K796" t="n">
        <v>1</v>
      </c>
      <c r="L796" t="n">
        <v>0</v>
      </c>
      <c r="M796" t="n">
        <v>0</v>
      </c>
      <c r="N796" t="n">
        <v>0</v>
      </c>
      <c r="O796" t="n">
        <v>1</v>
      </c>
      <c r="P796" t="n">
        <v>1</v>
      </c>
      <c r="Q796" t="n">
        <v>1</v>
      </c>
      <c r="R796" s="2" t="inlineStr">
        <is>
          <t>Knärot</t>
        </is>
      </c>
      <c r="S796">
        <f>HYPERLINK("https://klasma.github.io/Logging_2083/artfynd/A 49889-2022 artfynd.xlsx", "A 49889-2022")</f>
        <v/>
      </c>
      <c r="T796">
        <f>HYPERLINK("https://klasma.github.io/Logging_2083/kartor/A 49889-2022 karta.png", "A 49889-2022")</f>
        <v/>
      </c>
      <c r="U796">
        <f>HYPERLINK("https://klasma.github.io/Logging_2083/knärot/A 49889-2022 karta knärot.png", "A 49889-2022")</f>
        <v/>
      </c>
      <c r="V796">
        <f>HYPERLINK("https://klasma.github.io/Logging_2083/klagomål/A 49889-2022 FSC-klagomål.docx", "A 49889-2022")</f>
        <v/>
      </c>
      <c r="W796">
        <f>HYPERLINK("https://klasma.github.io/Logging_2083/klagomålsmail/A 49889-2022 FSC-klagomål mail.docx", "A 49889-2022")</f>
        <v/>
      </c>
      <c r="X796">
        <f>HYPERLINK("https://klasma.github.io/Logging_2083/tillsyn/A 49889-2022 tillsynsbegäran.docx", "A 49889-2022")</f>
        <v/>
      </c>
      <c r="Y796">
        <f>HYPERLINK("https://klasma.github.io/Logging_2083/tillsynsmail/A 49889-2022 tillsynsbegäran mail.docx", "A 49889-2022")</f>
        <v/>
      </c>
    </row>
    <row r="797" ht="15" customHeight="1">
      <c r="A797" t="inlineStr">
        <is>
          <t>A 50251-2022</t>
        </is>
      </c>
      <c r="B797" s="1" t="n">
        <v>44865</v>
      </c>
      <c r="C797" s="1" t="n">
        <v>45706</v>
      </c>
      <c r="D797" t="inlineStr">
        <is>
          <t>DALARNAS LÄN</t>
        </is>
      </c>
      <c r="E797" t="inlineStr">
        <is>
          <t>ÄLVDALEN</t>
        </is>
      </c>
      <c r="F797" t="inlineStr">
        <is>
          <t>Sveaskog</t>
        </is>
      </c>
      <c r="G797" t="n">
        <v>4.4</v>
      </c>
      <c r="H797" t="n">
        <v>0</v>
      </c>
      <c r="I797" t="n">
        <v>1</v>
      </c>
      <c r="J797" t="n">
        <v>0</v>
      </c>
      <c r="K797" t="n">
        <v>0</v>
      </c>
      <c r="L797" t="n">
        <v>0</v>
      </c>
      <c r="M797" t="n">
        <v>0</v>
      </c>
      <c r="N797" t="n">
        <v>0</v>
      </c>
      <c r="O797" t="n">
        <v>0</v>
      </c>
      <c r="P797" t="n">
        <v>0</v>
      </c>
      <c r="Q797" t="n">
        <v>1</v>
      </c>
      <c r="R797" s="2" t="inlineStr">
        <is>
          <t>Dropptaggsvamp</t>
        </is>
      </c>
      <c r="S797">
        <f>HYPERLINK("https://klasma.github.io/Logging_2039/artfynd/A 50251-2022 artfynd.xlsx", "A 50251-2022")</f>
        <v/>
      </c>
      <c r="T797">
        <f>HYPERLINK("https://klasma.github.io/Logging_2039/kartor/A 50251-2022 karta.png", "A 50251-2022")</f>
        <v/>
      </c>
      <c r="V797">
        <f>HYPERLINK("https://klasma.github.io/Logging_2039/klagomål/A 50251-2022 FSC-klagomål.docx", "A 50251-2022")</f>
        <v/>
      </c>
      <c r="W797">
        <f>HYPERLINK("https://klasma.github.io/Logging_2039/klagomålsmail/A 50251-2022 FSC-klagomål mail.docx", "A 50251-2022")</f>
        <v/>
      </c>
      <c r="X797">
        <f>HYPERLINK("https://klasma.github.io/Logging_2039/tillsyn/A 50251-2022 tillsynsbegäran.docx", "A 50251-2022")</f>
        <v/>
      </c>
      <c r="Y797">
        <f>HYPERLINK("https://klasma.github.io/Logging_2039/tillsynsmail/A 50251-2022 tillsynsbegäran mail.docx", "A 50251-2022")</f>
        <v/>
      </c>
    </row>
    <row r="798" ht="15" customHeight="1">
      <c r="A798" t="inlineStr">
        <is>
          <t>A 50252-2022</t>
        </is>
      </c>
      <c r="B798" s="1" t="n">
        <v>44865</v>
      </c>
      <c r="C798" s="1" t="n">
        <v>45706</v>
      </c>
      <c r="D798" t="inlineStr">
        <is>
          <t>DALARNAS LÄN</t>
        </is>
      </c>
      <c r="E798" t="inlineStr">
        <is>
          <t>ÄLVDALEN</t>
        </is>
      </c>
      <c r="F798" t="inlineStr">
        <is>
          <t>Sveaskog</t>
        </is>
      </c>
      <c r="G798" t="n">
        <v>3</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50252-2022 artfynd.xlsx", "A 50252-2022")</f>
        <v/>
      </c>
      <c r="T798">
        <f>HYPERLINK("https://klasma.github.io/Logging_2039/kartor/A 50252-2022 karta.png", "A 50252-2022")</f>
        <v/>
      </c>
      <c r="V798">
        <f>HYPERLINK("https://klasma.github.io/Logging_2039/klagomål/A 50252-2022 FSC-klagomål.docx", "A 50252-2022")</f>
        <v/>
      </c>
      <c r="W798">
        <f>HYPERLINK("https://klasma.github.io/Logging_2039/klagomålsmail/A 50252-2022 FSC-klagomål mail.docx", "A 50252-2022")</f>
        <v/>
      </c>
      <c r="X798">
        <f>HYPERLINK("https://klasma.github.io/Logging_2039/tillsyn/A 50252-2022 tillsynsbegäran.docx", "A 50252-2022")</f>
        <v/>
      </c>
      <c r="Y798">
        <f>HYPERLINK("https://klasma.github.io/Logging_2039/tillsynsmail/A 50252-2022 tillsynsbegäran mail.docx", "A 50252-2022")</f>
        <v/>
      </c>
    </row>
    <row r="799" ht="15" customHeight="1">
      <c r="A799" t="inlineStr">
        <is>
          <t>A 50360-2022</t>
        </is>
      </c>
      <c r="B799" s="1" t="n">
        <v>44866</v>
      </c>
      <c r="C799" s="1" t="n">
        <v>45706</v>
      </c>
      <c r="D799" t="inlineStr">
        <is>
          <t>DALARNAS LÄN</t>
        </is>
      </c>
      <c r="E799" t="inlineStr">
        <is>
          <t>LEKSAND</t>
        </is>
      </c>
      <c r="F799" t="inlineStr">
        <is>
          <t>Bergvik skog väst AB</t>
        </is>
      </c>
      <c r="G799" t="n">
        <v>0.7</v>
      </c>
      <c r="H799" t="n">
        <v>1</v>
      </c>
      <c r="I799" t="n">
        <v>0</v>
      </c>
      <c r="J799" t="n">
        <v>0</v>
      </c>
      <c r="K799" t="n">
        <v>1</v>
      </c>
      <c r="L799" t="n">
        <v>0</v>
      </c>
      <c r="M799" t="n">
        <v>0</v>
      </c>
      <c r="N799" t="n">
        <v>0</v>
      </c>
      <c r="O799" t="n">
        <v>1</v>
      </c>
      <c r="P799" t="n">
        <v>1</v>
      </c>
      <c r="Q799" t="n">
        <v>1</v>
      </c>
      <c r="R799" s="2" t="inlineStr">
        <is>
          <t>Knärot</t>
        </is>
      </c>
      <c r="S799">
        <f>HYPERLINK("https://klasma.github.io/Logging_2029/artfynd/A 50360-2022 artfynd.xlsx", "A 50360-2022")</f>
        <v/>
      </c>
      <c r="T799">
        <f>HYPERLINK("https://klasma.github.io/Logging_2029/kartor/A 50360-2022 karta.png", "A 50360-2022")</f>
        <v/>
      </c>
      <c r="U799">
        <f>HYPERLINK("https://klasma.github.io/Logging_2029/knärot/A 50360-2022 karta knärot.png", "A 50360-2022")</f>
        <v/>
      </c>
      <c r="V799">
        <f>HYPERLINK("https://klasma.github.io/Logging_2029/klagomål/A 50360-2022 FSC-klagomål.docx", "A 50360-2022")</f>
        <v/>
      </c>
      <c r="W799">
        <f>HYPERLINK("https://klasma.github.io/Logging_2029/klagomålsmail/A 50360-2022 FSC-klagomål mail.docx", "A 50360-2022")</f>
        <v/>
      </c>
      <c r="X799">
        <f>HYPERLINK("https://klasma.github.io/Logging_2029/tillsyn/A 50360-2022 tillsynsbegäran.docx", "A 50360-2022")</f>
        <v/>
      </c>
      <c r="Y799">
        <f>HYPERLINK("https://klasma.github.io/Logging_2029/tillsynsmail/A 50360-2022 tillsynsbegäran mail.docx", "A 50360-2022")</f>
        <v/>
      </c>
    </row>
    <row r="800" ht="15" customHeight="1">
      <c r="A800" t="inlineStr">
        <is>
          <t>A 50475-2022</t>
        </is>
      </c>
      <c r="B800" s="1" t="n">
        <v>44866</v>
      </c>
      <c r="C800" s="1" t="n">
        <v>45706</v>
      </c>
      <c r="D800" t="inlineStr">
        <is>
          <t>DALARNAS LÄN</t>
        </is>
      </c>
      <c r="E800" t="inlineStr">
        <is>
          <t>FALUN</t>
        </is>
      </c>
      <c r="F800" t="inlineStr">
        <is>
          <t>Allmännings- och besparingsskogar</t>
        </is>
      </c>
      <c r="G800" t="n">
        <v>11.3</v>
      </c>
      <c r="H800" t="n">
        <v>1</v>
      </c>
      <c r="I800" t="n">
        <v>0</v>
      </c>
      <c r="J800" t="n">
        <v>0</v>
      </c>
      <c r="K800" t="n">
        <v>1</v>
      </c>
      <c r="L800" t="n">
        <v>0</v>
      </c>
      <c r="M800" t="n">
        <v>0</v>
      </c>
      <c r="N800" t="n">
        <v>0</v>
      </c>
      <c r="O800" t="n">
        <v>1</v>
      </c>
      <c r="P800" t="n">
        <v>1</v>
      </c>
      <c r="Q800" t="n">
        <v>1</v>
      </c>
      <c r="R800" s="2" t="inlineStr">
        <is>
          <t>Knärot</t>
        </is>
      </c>
      <c r="S800">
        <f>HYPERLINK("https://klasma.github.io/Logging_2080/artfynd/A 50475-2022 artfynd.xlsx", "A 50475-2022")</f>
        <v/>
      </c>
      <c r="T800">
        <f>HYPERLINK("https://klasma.github.io/Logging_2080/kartor/A 50475-2022 karta.png", "A 50475-2022")</f>
        <v/>
      </c>
      <c r="U800">
        <f>HYPERLINK("https://klasma.github.io/Logging_2080/knärot/A 50475-2022 karta knärot.png", "A 50475-2022")</f>
        <v/>
      </c>
      <c r="V800">
        <f>HYPERLINK("https://klasma.github.io/Logging_2080/klagomål/A 50475-2022 FSC-klagomål.docx", "A 50475-2022")</f>
        <v/>
      </c>
      <c r="W800">
        <f>HYPERLINK("https://klasma.github.io/Logging_2080/klagomålsmail/A 50475-2022 FSC-klagomål mail.docx", "A 50475-2022")</f>
        <v/>
      </c>
      <c r="X800">
        <f>HYPERLINK("https://klasma.github.io/Logging_2080/tillsyn/A 50475-2022 tillsynsbegäran.docx", "A 50475-2022")</f>
        <v/>
      </c>
      <c r="Y800">
        <f>HYPERLINK("https://klasma.github.io/Logging_2080/tillsynsmail/A 50475-2022 tillsynsbegäran mail.docx", "A 50475-2022")</f>
        <v/>
      </c>
    </row>
    <row r="801" ht="15" customHeight="1">
      <c r="A801" t="inlineStr">
        <is>
          <t>A 52278-2022</t>
        </is>
      </c>
      <c r="B801" s="1" t="n">
        <v>44869</v>
      </c>
      <c r="C801" s="1" t="n">
        <v>45706</v>
      </c>
      <c r="D801" t="inlineStr">
        <is>
          <t>DALARNAS LÄN</t>
        </is>
      </c>
      <c r="E801" t="inlineStr">
        <is>
          <t>BORLÄNGE</t>
        </is>
      </c>
      <c r="G801" t="n">
        <v>1.2</v>
      </c>
      <c r="H801" t="n">
        <v>1</v>
      </c>
      <c r="I801" t="n">
        <v>0</v>
      </c>
      <c r="J801" t="n">
        <v>0</v>
      </c>
      <c r="K801" t="n">
        <v>0</v>
      </c>
      <c r="L801" t="n">
        <v>0</v>
      </c>
      <c r="M801" t="n">
        <v>0</v>
      </c>
      <c r="N801" t="n">
        <v>0</v>
      </c>
      <c r="O801" t="n">
        <v>0</v>
      </c>
      <c r="P801" t="n">
        <v>0</v>
      </c>
      <c r="Q801" t="n">
        <v>1</v>
      </c>
      <c r="R801" s="2" t="inlineStr">
        <is>
          <t>Revlummer</t>
        </is>
      </c>
      <c r="S801">
        <f>HYPERLINK("https://klasma.github.io/Logging_2081/artfynd/A 52278-2022 artfynd.xlsx", "A 52278-2022")</f>
        <v/>
      </c>
      <c r="T801">
        <f>HYPERLINK("https://klasma.github.io/Logging_2081/kartor/A 52278-2022 karta.png", "A 52278-2022")</f>
        <v/>
      </c>
      <c r="V801">
        <f>HYPERLINK("https://klasma.github.io/Logging_2081/klagomål/A 52278-2022 FSC-klagomål.docx", "A 52278-2022")</f>
        <v/>
      </c>
      <c r="W801">
        <f>HYPERLINK("https://klasma.github.io/Logging_2081/klagomålsmail/A 52278-2022 FSC-klagomål mail.docx", "A 52278-2022")</f>
        <v/>
      </c>
      <c r="X801">
        <f>HYPERLINK("https://klasma.github.io/Logging_2081/tillsyn/A 52278-2022 tillsynsbegäran.docx", "A 52278-2022")</f>
        <v/>
      </c>
      <c r="Y801">
        <f>HYPERLINK("https://klasma.github.io/Logging_2081/tillsynsmail/A 52278-2022 tillsynsbegäran mail.docx", "A 52278-2022")</f>
        <v/>
      </c>
    </row>
    <row r="802" ht="15" customHeight="1">
      <c r="A802" t="inlineStr">
        <is>
          <t>A 51525-2022</t>
        </is>
      </c>
      <c r="B802" s="1" t="n">
        <v>44869</v>
      </c>
      <c r="C802" s="1" t="n">
        <v>45706</v>
      </c>
      <c r="D802" t="inlineStr">
        <is>
          <t>DALARNAS LÄN</t>
        </is>
      </c>
      <c r="E802" t="inlineStr">
        <is>
          <t>HEDEMORA</t>
        </is>
      </c>
      <c r="F802" t="inlineStr">
        <is>
          <t>Sveaskog</t>
        </is>
      </c>
      <c r="G802" t="n">
        <v>20.1</v>
      </c>
      <c r="H802" t="n">
        <v>1</v>
      </c>
      <c r="I802" t="n">
        <v>0</v>
      </c>
      <c r="J802" t="n">
        <v>0</v>
      </c>
      <c r="K802" t="n">
        <v>0</v>
      </c>
      <c r="L802" t="n">
        <v>0</v>
      </c>
      <c r="M802" t="n">
        <v>0</v>
      </c>
      <c r="N802" t="n">
        <v>0</v>
      </c>
      <c r="O802" t="n">
        <v>0</v>
      </c>
      <c r="P802" t="n">
        <v>0</v>
      </c>
      <c r="Q802" t="n">
        <v>1</v>
      </c>
      <c r="R802" s="2" t="inlineStr">
        <is>
          <t>Mattlummer</t>
        </is>
      </c>
      <c r="S802">
        <f>HYPERLINK("https://klasma.github.io/Logging_2083/artfynd/A 51525-2022 artfynd.xlsx", "A 51525-2022")</f>
        <v/>
      </c>
      <c r="T802">
        <f>HYPERLINK("https://klasma.github.io/Logging_2083/kartor/A 51525-2022 karta.png", "A 51525-2022")</f>
        <v/>
      </c>
      <c r="V802">
        <f>HYPERLINK("https://klasma.github.io/Logging_2083/klagomål/A 51525-2022 FSC-klagomål.docx", "A 51525-2022")</f>
        <v/>
      </c>
      <c r="W802">
        <f>HYPERLINK("https://klasma.github.io/Logging_2083/klagomålsmail/A 51525-2022 FSC-klagomål mail.docx", "A 51525-2022")</f>
        <v/>
      </c>
      <c r="X802">
        <f>HYPERLINK("https://klasma.github.io/Logging_2083/tillsyn/A 51525-2022 tillsynsbegäran.docx", "A 51525-2022")</f>
        <v/>
      </c>
      <c r="Y802">
        <f>HYPERLINK("https://klasma.github.io/Logging_2083/tillsynsmail/A 51525-2022 tillsynsbegäran mail.docx", "A 51525-2022")</f>
        <v/>
      </c>
    </row>
    <row r="803" ht="15" customHeight="1">
      <c r="A803" t="inlineStr">
        <is>
          <t>A 51477-2022</t>
        </is>
      </c>
      <c r="B803" s="1" t="n">
        <v>44869</v>
      </c>
      <c r="C803" s="1" t="n">
        <v>45706</v>
      </c>
      <c r="D803" t="inlineStr">
        <is>
          <t>DALARNAS LÄN</t>
        </is>
      </c>
      <c r="E803" t="inlineStr">
        <is>
          <t>ÄLVDALEN</t>
        </is>
      </c>
      <c r="F803" t="inlineStr">
        <is>
          <t>Sveaskog</t>
        </is>
      </c>
      <c r="G803" t="n">
        <v>3.8</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51477-2022 artfynd.xlsx", "A 51477-2022")</f>
        <v/>
      </c>
      <c r="T803">
        <f>HYPERLINK("https://klasma.github.io/Logging_2039/kartor/A 51477-2022 karta.png", "A 51477-2022")</f>
        <v/>
      </c>
      <c r="V803">
        <f>HYPERLINK("https://klasma.github.io/Logging_2039/klagomål/A 51477-2022 FSC-klagomål.docx", "A 51477-2022")</f>
        <v/>
      </c>
      <c r="W803">
        <f>HYPERLINK("https://klasma.github.io/Logging_2039/klagomålsmail/A 51477-2022 FSC-klagomål mail.docx", "A 51477-2022")</f>
        <v/>
      </c>
      <c r="X803">
        <f>HYPERLINK("https://klasma.github.io/Logging_2039/tillsyn/A 51477-2022 tillsynsbegäran.docx", "A 51477-2022")</f>
        <v/>
      </c>
      <c r="Y803">
        <f>HYPERLINK("https://klasma.github.io/Logging_2039/tillsynsmail/A 51477-2022 tillsynsbegäran mail.docx", "A 51477-2022")</f>
        <v/>
      </c>
    </row>
    <row r="804" ht="15" customHeight="1">
      <c r="A804" t="inlineStr">
        <is>
          <t>A 52452-2022</t>
        </is>
      </c>
      <c r="B804" s="1" t="n">
        <v>44874</v>
      </c>
      <c r="C804" s="1" t="n">
        <v>45706</v>
      </c>
      <c r="D804" t="inlineStr">
        <is>
          <t>DALARNAS LÄN</t>
        </is>
      </c>
      <c r="E804" t="inlineStr">
        <is>
          <t>LUDVIKA</t>
        </is>
      </c>
      <c r="F804" t="inlineStr">
        <is>
          <t>Bergvik skog väst AB</t>
        </is>
      </c>
      <c r="G804" t="n">
        <v>1.9</v>
      </c>
      <c r="H804" t="n">
        <v>0</v>
      </c>
      <c r="I804" t="n">
        <v>0</v>
      </c>
      <c r="J804" t="n">
        <v>1</v>
      </c>
      <c r="K804" t="n">
        <v>0</v>
      </c>
      <c r="L804" t="n">
        <v>0</v>
      </c>
      <c r="M804" t="n">
        <v>0</v>
      </c>
      <c r="N804" t="n">
        <v>0</v>
      </c>
      <c r="O804" t="n">
        <v>1</v>
      </c>
      <c r="P804" t="n">
        <v>0</v>
      </c>
      <c r="Q804" t="n">
        <v>1</v>
      </c>
      <c r="R804" s="2" t="inlineStr">
        <is>
          <t>Garnlav</t>
        </is>
      </c>
      <c r="S804">
        <f>HYPERLINK("https://klasma.github.io/Logging_2085/artfynd/A 52452-2022 artfynd.xlsx", "A 52452-2022")</f>
        <v/>
      </c>
      <c r="T804">
        <f>HYPERLINK("https://klasma.github.io/Logging_2085/kartor/A 52452-2022 karta.png", "A 52452-2022")</f>
        <v/>
      </c>
      <c r="V804">
        <f>HYPERLINK("https://klasma.github.io/Logging_2085/klagomål/A 52452-2022 FSC-klagomål.docx", "A 52452-2022")</f>
        <v/>
      </c>
      <c r="W804">
        <f>HYPERLINK("https://klasma.github.io/Logging_2085/klagomålsmail/A 52452-2022 FSC-klagomål mail.docx", "A 52452-2022")</f>
        <v/>
      </c>
      <c r="X804">
        <f>HYPERLINK("https://klasma.github.io/Logging_2085/tillsyn/A 52452-2022 tillsynsbegäran.docx", "A 52452-2022")</f>
        <v/>
      </c>
      <c r="Y804">
        <f>HYPERLINK("https://klasma.github.io/Logging_2085/tillsynsmail/A 52452-2022 tillsynsbegäran mail.docx", "A 52452-2022")</f>
        <v/>
      </c>
    </row>
    <row r="805" ht="15" customHeight="1">
      <c r="A805" t="inlineStr">
        <is>
          <t>A 53916-2022</t>
        </is>
      </c>
      <c r="B805" s="1" t="n">
        <v>44880</v>
      </c>
      <c r="C805" s="1" t="n">
        <v>45706</v>
      </c>
      <c r="D805" t="inlineStr">
        <is>
          <t>DALARNAS LÄN</t>
        </is>
      </c>
      <c r="E805" t="inlineStr">
        <is>
          <t>HEDEMORA</t>
        </is>
      </c>
      <c r="F805" t="inlineStr">
        <is>
          <t>Sveaskog</t>
        </is>
      </c>
      <c r="G805" t="n">
        <v>12.1</v>
      </c>
      <c r="H805" t="n">
        <v>1</v>
      </c>
      <c r="I805" t="n">
        <v>0</v>
      </c>
      <c r="J805" t="n">
        <v>1</v>
      </c>
      <c r="K805" t="n">
        <v>0</v>
      </c>
      <c r="L805" t="n">
        <v>0</v>
      </c>
      <c r="M805" t="n">
        <v>0</v>
      </c>
      <c r="N805" t="n">
        <v>0</v>
      </c>
      <c r="O805" t="n">
        <v>1</v>
      </c>
      <c r="P805" t="n">
        <v>0</v>
      </c>
      <c r="Q805" t="n">
        <v>1</v>
      </c>
      <c r="R805" s="2" t="inlineStr">
        <is>
          <t>Spillkråka</t>
        </is>
      </c>
      <c r="S805">
        <f>HYPERLINK("https://klasma.github.io/Logging_2083/artfynd/A 53916-2022 artfynd.xlsx", "A 53916-2022")</f>
        <v/>
      </c>
      <c r="T805">
        <f>HYPERLINK("https://klasma.github.io/Logging_2083/kartor/A 53916-2022 karta.png", "A 53916-2022")</f>
        <v/>
      </c>
      <c r="V805">
        <f>HYPERLINK("https://klasma.github.io/Logging_2083/klagomål/A 53916-2022 FSC-klagomål.docx", "A 53916-2022")</f>
        <v/>
      </c>
      <c r="W805">
        <f>HYPERLINK("https://klasma.github.io/Logging_2083/klagomålsmail/A 53916-2022 FSC-klagomål mail.docx", "A 53916-2022")</f>
        <v/>
      </c>
      <c r="X805">
        <f>HYPERLINK("https://klasma.github.io/Logging_2083/tillsyn/A 53916-2022 tillsynsbegäran.docx", "A 53916-2022")</f>
        <v/>
      </c>
      <c r="Y805">
        <f>HYPERLINK("https://klasma.github.io/Logging_2083/tillsynsmail/A 53916-2022 tillsynsbegäran mail.docx", "A 53916-2022")</f>
        <v/>
      </c>
      <c r="Z805">
        <f>HYPERLINK("https://klasma.github.io/Logging_2083/fåglar/A 53916-2022 prioriterade fågelarter.docx", "A 53916-2022")</f>
        <v/>
      </c>
    </row>
    <row r="806" ht="15" customHeight="1">
      <c r="A806" t="inlineStr">
        <is>
          <t>A 53915-2022</t>
        </is>
      </c>
      <c r="B806" s="1" t="n">
        <v>44880</v>
      </c>
      <c r="C806" s="1" t="n">
        <v>45706</v>
      </c>
      <c r="D806" t="inlineStr">
        <is>
          <t>DALARNAS LÄN</t>
        </is>
      </c>
      <c r="E806" t="inlineStr">
        <is>
          <t>HEDEMORA</t>
        </is>
      </c>
      <c r="F806" t="inlineStr">
        <is>
          <t>Sveaskog</t>
        </is>
      </c>
      <c r="G806" t="n">
        <v>5.3</v>
      </c>
      <c r="H806" t="n">
        <v>1</v>
      </c>
      <c r="I806" t="n">
        <v>0</v>
      </c>
      <c r="J806" t="n">
        <v>1</v>
      </c>
      <c r="K806" t="n">
        <v>0</v>
      </c>
      <c r="L806" t="n">
        <v>0</v>
      </c>
      <c r="M806" t="n">
        <v>0</v>
      </c>
      <c r="N806" t="n">
        <v>0</v>
      </c>
      <c r="O806" t="n">
        <v>1</v>
      </c>
      <c r="P806" t="n">
        <v>0</v>
      </c>
      <c r="Q806" t="n">
        <v>1</v>
      </c>
      <c r="R806" s="2" t="inlineStr">
        <is>
          <t>Talltita</t>
        </is>
      </c>
      <c r="S806">
        <f>HYPERLINK("https://klasma.github.io/Logging_2083/artfynd/A 53915-2022 artfynd.xlsx", "A 53915-2022")</f>
        <v/>
      </c>
      <c r="T806">
        <f>HYPERLINK("https://klasma.github.io/Logging_2083/kartor/A 53915-2022 karta.png", "A 53915-2022")</f>
        <v/>
      </c>
      <c r="V806">
        <f>HYPERLINK("https://klasma.github.io/Logging_2083/klagomål/A 53915-2022 FSC-klagomål.docx", "A 53915-2022")</f>
        <v/>
      </c>
      <c r="W806">
        <f>HYPERLINK("https://klasma.github.io/Logging_2083/klagomålsmail/A 53915-2022 FSC-klagomål mail.docx", "A 53915-2022")</f>
        <v/>
      </c>
      <c r="X806">
        <f>HYPERLINK("https://klasma.github.io/Logging_2083/tillsyn/A 53915-2022 tillsynsbegäran.docx", "A 53915-2022")</f>
        <v/>
      </c>
      <c r="Y806">
        <f>HYPERLINK("https://klasma.github.io/Logging_2083/tillsynsmail/A 53915-2022 tillsynsbegäran mail.docx", "A 53915-2022")</f>
        <v/>
      </c>
      <c r="Z806">
        <f>HYPERLINK("https://klasma.github.io/Logging_2083/fåglar/A 53915-2022 prioriterade fågelarter.docx", "A 53915-2022")</f>
        <v/>
      </c>
    </row>
    <row r="807" ht="15" customHeight="1">
      <c r="A807" t="inlineStr">
        <is>
          <t>A 54197-2022</t>
        </is>
      </c>
      <c r="B807" s="1" t="n">
        <v>44881</v>
      </c>
      <c r="C807" s="1" t="n">
        <v>45706</v>
      </c>
      <c r="D807" t="inlineStr">
        <is>
          <t>DALARNAS LÄN</t>
        </is>
      </c>
      <c r="E807" t="inlineStr">
        <is>
          <t>HEDEMORA</t>
        </is>
      </c>
      <c r="F807" t="inlineStr">
        <is>
          <t>Sveaskog</t>
        </is>
      </c>
      <c r="G807" t="n">
        <v>2.6</v>
      </c>
      <c r="H807" t="n">
        <v>1</v>
      </c>
      <c r="I807" t="n">
        <v>0</v>
      </c>
      <c r="J807" t="n">
        <v>0</v>
      </c>
      <c r="K807" t="n">
        <v>0</v>
      </c>
      <c r="L807" t="n">
        <v>0</v>
      </c>
      <c r="M807" t="n">
        <v>0</v>
      </c>
      <c r="N807" t="n">
        <v>0</v>
      </c>
      <c r="O807" t="n">
        <v>0</v>
      </c>
      <c r="P807" t="n">
        <v>0</v>
      </c>
      <c r="Q807" t="n">
        <v>1</v>
      </c>
      <c r="R807" s="2" t="inlineStr">
        <is>
          <t>Fläcknycklar</t>
        </is>
      </c>
      <c r="S807">
        <f>HYPERLINK("https://klasma.github.io/Logging_2083/artfynd/A 54197-2022 artfynd.xlsx", "A 54197-2022")</f>
        <v/>
      </c>
      <c r="T807">
        <f>HYPERLINK("https://klasma.github.io/Logging_2083/kartor/A 54197-2022 karta.png", "A 54197-2022")</f>
        <v/>
      </c>
      <c r="V807">
        <f>HYPERLINK("https://klasma.github.io/Logging_2083/klagomål/A 54197-2022 FSC-klagomål.docx", "A 54197-2022")</f>
        <v/>
      </c>
      <c r="W807">
        <f>HYPERLINK("https://klasma.github.io/Logging_2083/klagomålsmail/A 54197-2022 FSC-klagomål mail.docx", "A 54197-2022")</f>
        <v/>
      </c>
      <c r="X807">
        <f>HYPERLINK("https://klasma.github.io/Logging_2083/tillsyn/A 54197-2022 tillsynsbegäran.docx", "A 54197-2022")</f>
        <v/>
      </c>
      <c r="Y807">
        <f>HYPERLINK("https://klasma.github.io/Logging_2083/tillsynsmail/A 54197-2022 tillsynsbegäran mail.docx", "A 54197-2022")</f>
        <v/>
      </c>
    </row>
    <row r="808" ht="15" customHeight="1">
      <c r="A808" t="inlineStr">
        <is>
          <t>A 54196-2022</t>
        </is>
      </c>
      <c r="B808" s="1" t="n">
        <v>44881</v>
      </c>
      <c r="C808" s="1" t="n">
        <v>45706</v>
      </c>
      <c r="D808" t="inlineStr">
        <is>
          <t>DALARNAS LÄN</t>
        </is>
      </c>
      <c r="E808" t="inlineStr">
        <is>
          <t>HEDEMORA</t>
        </is>
      </c>
      <c r="F808" t="inlineStr">
        <is>
          <t>Sveaskog</t>
        </is>
      </c>
      <c r="G808" t="n">
        <v>1.1</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54196-2022 artfynd.xlsx", "A 54196-2022")</f>
        <v/>
      </c>
      <c r="T808">
        <f>HYPERLINK("https://klasma.github.io/Logging_2083/kartor/A 54196-2022 karta.png", "A 54196-2022")</f>
        <v/>
      </c>
      <c r="V808">
        <f>HYPERLINK("https://klasma.github.io/Logging_2083/klagomål/A 54196-2022 FSC-klagomål.docx", "A 54196-2022")</f>
        <v/>
      </c>
      <c r="W808">
        <f>HYPERLINK("https://klasma.github.io/Logging_2083/klagomålsmail/A 54196-2022 FSC-klagomål mail.docx", "A 54196-2022")</f>
        <v/>
      </c>
      <c r="X808">
        <f>HYPERLINK("https://klasma.github.io/Logging_2083/tillsyn/A 54196-2022 tillsynsbegäran.docx", "A 54196-2022")</f>
        <v/>
      </c>
      <c r="Y808">
        <f>HYPERLINK("https://klasma.github.io/Logging_2083/tillsynsmail/A 54196-2022 tillsynsbegäran mail.docx", "A 54196-2022")</f>
        <v/>
      </c>
    </row>
    <row r="809" ht="15" customHeight="1">
      <c r="A809" t="inlineStr">
        <is>
          <t>A 55062-2022</t>
        </is>
      </c>
      <c r="B809" s="1" t="n">
        <v>44881</v>
      </c>
      <c r="C809" s="1" t="n">
        <v>45706</v>
      </c>
      <c r="D809" t="inlineStr">
        <is>
          <t>DALARNAS LÄN</t>
        </is>
      </c>
      <c r="E809" t="inlineStr">
        <is>
          <t>ÄLVDALEN</t>
        </is>
      </c>
      <c r="F809" t="inlineStr">
        <is>
          <t>Övriga statliga verk och myndigheter</t>
        </is>
      </c>
      <c r="G809" t="n">
        <v>28.1</v>
      </c>
      <c r="H809" t="n">
        <v>1</v>
      </c>
      <c r="I809" t="n">
        <v>0</v>
      </c>
      <c r="J809" t="n">
        <v>1</v>
      </c>
      <c r="K809" t="n">
        <v>0</v>
      </c>
      <c r="L809" t="n">
        <v>0</v>
      </c>
      <c r="M809" t="n">
        <v>0</v>
      </c>
      <c r="N809" t="n">
        <v>0</v>
      </c>
      <c r="O809" t="n">
        <v>1</v>
      </c>
      <c r="P809" t="n">
        <v>0</v>
      </c>
      <c r="Q809" t="n">
        <v>1</v>
      </c>
      <c r="R809" s="2" t="inlineStr">
        <is>
          <t>Utter</t>
        </is>
      </c>
      <c r="S809">
        <f>HYPERLINK("https://klasma.github.io/Logging_2039/artfynd/A 55062-2022 artfynd.xlsx", "A 55062-2022")</f>
        <v/>
      </c>
      <c r="T809">
        <f>HYPERLINK("https://klasma.github.io/Logging_2039/kartor/A 55062-2022 karta.png", "A 55062-2022")</f>
        <v/>
      </c>
      <c r="V809">
        <f>HYPERLINK("https://klasma.github.io/Logging_2039/klagomål/A 55062-2022 FSC-klagomål.docx", "A 55062-2022")</f>
        <v/>
      </c>
      <c r="W809">
        <f>HYPERLINK("https://klasma.github.io/Logging_2039/klagomålsmail/A 55062-2022 FSC-klagomål mail.docx", "A 55062-2022")</f>
        <v/>
      </c>
      <c r="X809">
        <f>HYPERLINK("https://klasma.github.io/Logging_2039/tillsyn/A 55062-2022 tillsynsbegäran.docx", "A 55062-2022")</f>
        <v/>
      </c>
      <c r="Y809">
        <f>HYPERLINK("https://klasma.github.io/Logging_2039/tillsynsmail/A 55062-2022 tillsynsbegäran mail.docx", "A 55062-2022")</f>
        <v/>
      </c>
    </row>
    <row r="810" ht="15" customHeight="1">
      <c r="A810" t="inlineStr">
        <is>
          <t>A 55144-2022</t>
        </is>
      </c>
      <c r="B810" s="1" t="n">
        <v>44886</v>
      </c>
      <c r="C810" s="1" t="n">
        <v>45706</v>
      </c>
      <c r="D810" t="inlineStr">
        <is>
          <t>DALARNAS LÄN</t>
        </is>
      </c>
      <c r="E810" t="inlineStr">
        <is>
          <t>HEDEMORA</t>
        </is>
      </c>
      <c r="F810" t="inlineStr">
        <is>
          <t>Sveaskog</t>
        </is>
      </c>
      <c r="G810" t="n">
        <v>2.6</v>
      </c>
      <c r="H810" t="n">
        <v>1</v>
      </c>
      <c r="I810" t="n">
        <v>0</v>
      </c>
      <c r="J810" t="n">
        <v>0</v>
      </c>
      <c r="K810" t="n">
        <v>0</v>
      </c>
      <c r="L810" t="n">
        <v>0</v>
      </c>
      <c r="M810" t="n">
        <v>0</v>
      </c>
      <c r="N810" t="n">
        <v>0</v>
      </c>
      <c r="O810" t="n">
        <v>0</v>
      </c>
      <c r="P810" t="n">
        <v>0</v>
      </c>
      <c r="Q810" t="n">
        <v>1</v>
      </c>
      <c r="R810" s="2" t="inlineStr">
        <is>
          <t>Fläcknycklar</t>
        </is>
      </c>
      <c r="S810">
        <f>HYPERLINK("https://klasma.github.io/Logging_2083/artfynd/A 55144-2022 artfynd.xlsx", "A 55144-2022")</f>
        <v/>
      </c>
      <c r="T810">
        <f>HYPERLINK("https://klasma.github.io/Logging_2083/kartor/A 55144-2022 karta.png", "A 55144-2022")</f>
        <v/>
      </c>
      <c r="V810">
        <f>HYPERLINK("https://klasma.github.io/Logging_2083/klagomål/A 55144-2022 FSC-klagomål.docx", "A 55144-2022")</f>
        <v/>
      </c>
      <c r="W810">
        <f>HYPERLINK("https://klasma.github.io/Logging_2083/klagomålsmail/A 55144-2022 FSC-klagomål mail.docx", "A 55144-2022")</f>
        <v/>
      </c>
      <c r="X810">
        <f>HYPERLINK("https://klasma.github.io/Logging_2083/tillsyn/A 55144-2022 tillsynsbegäran.docx", "A 55144-2022")</f>
        <v/>
      </c>
      <c r="Y810">
        <f>HYPERLINK("https://klasma.github.io/Logging_2083/tillsynsmail/A 55144-2022 tillsynsbegäran mail.docx", "A 55144-2022")</f>
        <v/>
      </c>
    </row>
    <row r="811" ht="15" customHeight="1">
      <c r="A811" t="inlineStr">
        <is>
          <t>A 55550-2022</t>
        </is>
      </c>
      <c r="B811" s="1" t="n">
        <v>44888</v>
      </c>
      <c r="C811" s="1" t="n">
        <v>45706</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Ögonpyrola</t>
        </is>
      </c>
      <c r="S811">
        <f>HYPERLINK("https://klasma.github.io/Logging_2085/artfynd/A 55550-2022 artfynd.xlsx", "A 55550-2022")</f>
        <v/>
      </c>
      <c r="T811">
        <f>HYPERLINK("https://klasma.github.io/Logging_2085/kartor/A 55550-2022 karta.png", "A 55550-2022")</f>
        <v/>
      </c>
      <c r="V811">
        <f>HYPERLINK("https://klasma.github.io/Logging_2085/klagomål/A 55550-2022 FSC-klagomål.docx", "A 55550-2022")</f>
        <v/>
      </c>
      <c r="W811">
        <f>HYPERLINK("https://klasma.github.io/Logging_2085/klagomålsmail/A 55550-2022 FSC-klagomål mail.docx", "A 55550-2022")</f>
        <v/>
      </c>
      <c r="X811">
        <f>HYPERLINK("https://klasma.github.io/Logging_2085/tillsyn/A 55550-2022 tillsynsbegäran.docx", "A 55550-2022")</f>
        <v/>
      </c>
      <c r="Y811">
        <f>HYPERLINK("https://klasma.github.io/Logging_2085/tillsynsmail/A 55550-2022 tillsynsbegäran mail.docx", "A 55550-2022")</f>
        <v/>
      </c>
    </row>
    <row r="812" ht="15" customHeight="1">
      <c r="A812" t="inlineStr">
        <is>
          <t>A 56806-2022</t>
        </is>
      </c>
      <c r="B812" s="1" t="n">
        <v>44894</v>
      </c>
      <c r="C812" s="1" t="n">
        <v>45706</v>
      </c>
      <c r="D812" t="inlineStr">
        <is>
          <t>DALARNAS LÄN</t>
        </is>
      </c>
      <c r="E812" t="inlineStr">
        <is>
          <t>RÄTTVIK</t>
        </is>
      </c>
      <c r="F812" t="inlineStr">
        <is>
          <t>Sveaskog</t>
        </is>
      </c>
      <c r="G812" t="n">
        <v>13</v>
      </c>
      <c r="H812" t="n">
        <v>0</v>
      </c>
      <c r="I812" t="n">
        <v>0</v>
      </c>
      <c r="J812" t="n">
        <v>1</v>
      </c>
      <c r="K812" t="n">
        <v>0</v>
      </c>
      <c r="L812" t="n">
        <v>0</v>
      </c>
      <c r="M812" t="n">
        <v>0</v>
      </c>
      <c r="N812" t="n">
        <v>0</v>
      </c>
      <c r="O812" t="n">
        <v>1</v>
      </c>
      <c r="P812" t="n">
        <v>0</v>
      </c>
      <c r="Q812" t="n">
        <v>1</v>
      </c>
      <c r="R812" s="2" t="inlineStr">
        <is>
          <t>Vedflamlav</t>
        </is>
      </c>
      <c r="S812">
        <f>HYPERLINK("https://klasma.github.io/Logging_2031/artfynd/A 56806-2022 artfynd.xlsx", "A 56806-2022")</f>
        <v/>
      </c>
      <c r="T812">
        <f>HYPERLINK("https://klasma.github.io/Logging_2031/kartor/A 56806-2022 karta.png", "A 56806-2022")</f>
        <v/>
      </c>
      <c r="V812">
        <f>HYPERLINK("https://klasma.github.io/Logging_2031/klagomål/A 56806-2022 FSC-klagomål.docx", "A 56806-2022")</f>
        <v/>
      </c>
      <c r="W812">
        <f>HYPERLINK("https://klasma.github.io/Logging_2031/klagomålsmail/A 56806-2022 FSC-klagomål mail.docx", "A 56806-2022")</f>
        <v/>
      </c>
      <c r="X812">
        <f>HYPERLINK("https://klasma.github.io/Logging_2031/tillsyn/A 56806-2022 tillsynsbegäran.docx", "A 56806-2022")</f>
        <v/>
      </c>
      <c r="Y812">
        <f>HYPERLINK("https://klasma.github.io/Logging_2031/tillsynsmail/A 56806-2022 tillsynsbegäran mail.docx", "A 56806-2022")</f>
        <v/>
      </c>
    </row>
    <row r="813" ht="15" customHeight="1">
      <c r="A813" t="inlineStr">
        <is>
          <t>A 57669-2022</t>
        </is>
      </c>
      <c r="B813" s="1" t="n">
        <v>44897</v>
      </c>
      <c r="C813" s="1" t="n">
        <v>45706</v>
      </c>
      <c r="D813" t="inlineStr">
        <is>
          <t>DALARNAS LÄN</t>
        </is>
      </c>
      <c r="E813" t="inlineStr">
        <is>
          <t>MORA</t>
        </is>
      </c>
      <c r="G813" t="n">
        <v>4.1</v>
      </c>
      <c r="H813" t="n">
        <v>0</v>
      </c>
      <c r="I813" t="n">
        <v>0</v>
      </c>
      <c r="J813" t="n">
        <v>1</v>
      </c>
      <c r="K813" t="n">
        <v>0</v>
      </c>
      <c r="L813" t="n">
        <v>0</v>
      </c>
      <c r="M813" t="n">
        <v>0</v>
      </c>
      <c r="N813" t="n">
        <v>0</v>
      </c>
      <c r="O813" t="n">
        <v>1</v>
      </c>
      <c r="P813" t="n">
        <v>0</v>
      </c>
      <c r="Q813" t="n">
        <v>1</v>
      </c>
      <c r="R813" s="2" t="inlineStr">
        <is>
          <t>Igelkott</t>
        </is>
      </c>
      <c r="S813">
        <f>HYPERLINK("https://klasma.github.io/Logging_2062/artfynd/A 57669-2022 artfynd.xlsx", "A 57669-2022")</f>
        <v/>
      </c>
      <c r="T813">
        <f>HYPERLINK("https://klasma.github.io/Logging_2062/kartor/A 57669-2022 karta.png", "A 57669-2022")</f>
        <v/>
      </c>
      <c r="V813">
        <f>HYPERLINK("https://klasma.github.io/Logging_2062/klagomål/A 57669-2022 FSC-klagomål.docx", "A 57669-2022")</f>
        <v/>
      </c>
      <c r="W813">
        <f>HYPERLINK("https://klasma.github.io/Logging_2062/klagomålsmail/A 57669-2022 FSC-klagomål mail.docx", "A 57669-2022")</f>
        <v/>
      </c>
      <c r="X813">
        <f>HYPERLINK("https://klasma.github.io/Logging_2062/tillsyn/A 57669-2022 tillsynsbegäran.docx", "A 57669-2022")</f>
        <v/>
      </c>
      <c r="Y813">
        <f>HYPERLINK("https://klasma.github.io/Logging_2062/tillsynsmail/A 57669-2022 tillsynsbegäran mail.docx", "A 57669-2022")</f>
        <v/>
      </c>
    </row>
    <row r="814" ht="15" customHeight="1">
      <c r="A814" t="inlineStr">
        <is>
          <t>A 57693-2022</t>
        </is>
      </c>
      <c r="B814" s="1" t="n">
        <v>44897</v>
      </c>
      <c r="C814" s="1" t="n">
        <v>45706</v>
      </c>
      <c r="D814" t="inlineStr">
        <is>
          <t>DALARNAS LÄN</t>
        </is>
      </c>
      <c r="E814" t="inlineStr">
        <is>
          <t>BORLÄNGE</t>
        </is>
      </c>
      <c r="G814" t="n">
        <v>8.6</v>
      </c>
      <c r="H814" t="n">
        <v>0</v>
      </c>
      <c r="I814" t="n">
        <v>1</v>
      </c>
      <c r="J814" t="n">
        <v>0</v>
      </c>
      <c r="K814" t="n">
        <v>0</v>
      </c>
      <c r="L814" t="n">
        <v>0</v>
      </c>
      <c r="M814" t="n">
        <v>0</v>
      </c>
      <c r="N814" t="n">
        <v>0</v>
      </c>
      <c r="O814" t="n">
        <v>0</v>
      </c>
      <c r="P814" t="n">
        <v>0</v>
      </c>
      <c r="Q814" t="n">
        <v>1</v>
      </c>
      <c r="R814" s="2" t="inlineStr">
        <is>
          <t>Nästlav</t>
        </is>
      </c>
      <c r="S814">
        <f>HYPERLINK("https://klasma.github.io/Logging_2081/artfynd/A 57693-2022 artfynd.xlsx", "A 57693-2022")</f>
        <v/>
      </c>
      <c r="T814">
        <f>HYPERLINK("https://klasma.github.io/Logging_2081/kartor/A 57693-2022 karta.png", "A 57693-2022")</f>
        <v/>
      </c>
      <c r="V814">
        <f>HYPERLINK("https://klasma.github.io/Logging_2081/klagomål/A 57693-2022 FSC-klagomål.docx", "A 57693-2022")</f>
        <v/>
      </c>
      <c r="W814">
        <f>HYPERLINK("https://klasma.github.io/Logging_2081/klagomålsmail/A 57693-2022 FSC-klagomål mail.docx", "A 57693-2022")</f>
        <v/>
      </c>
      <c r="X814">
        <f>HYPERLINK("https://klasma.github.io/Logging_2081/tillsyn/A 57693-2022 tillsynsbegäran.docx", "A 57693-2022")</f>
        <v/>
      </c>
      <c r="Y814">
        <f>HYPERLINK("https://klasma.github.io/Logging_2081/tillsynsmail/A 57693-2022 tillsynsbegäran mail.docx", "A 57693-2022")</f>
        <v/>
      </c>
    </row>
    <row r="815" ht="15" customHeight="1">
      <c r="A815" t="inlineStr">
        <is>
          <t>A 60556-2022</t>
        </is>
      </c>
      <c r="B815" s="1" t="n">
        <v>44911</v>
      </c>
      <c r="C815" s="1" t="n">
        <v>45706</v>
      </c>
      <c r="D815" t="inlineStr">
        <is>
          <t>DALARNAS LÄN</t>
        </is>
      </c>
      <c r="E815" t="inlineStr">
        <is>
          <t>RÄTTVIK</t>
        </is>
      </c>
      <c r="G815" t="n">
        <v>7.4</v>
      </c>
      <c r="H815" t="n">
        <v>0</v>
      </c>
      <c r="I815" t="n">
        <v>1</v>
      </c>
      <c r="J815" t="n">
        <v>0</v>
      </c>
      <c r="K815" t="n">
        <v>0</v>
      </c>
      <c r="L815" t="n">
        <v>0</v>
      </c>
      <c r="M815" t="n">
        <v>0</v>
      </c>
      <c r="N815" t="n">
        <v>0</v>
      </c>
      <c r="O815" t="n">
        <v>0</v>
      </c>
      <c r="P815" t="n">
        <v>0</v>
      </c>
      <c r="Q815" t="n">
        <v>1</v>
      </c>
      <c r="R815" s="2" t="inlineStr">
        <is>
          <t>Scharlakansvårskål agg.</t>
        </is>
      </c>
      <c r="S815">
        <f>HYPERLINK("https://klasma.github.io/Logging_2031/artfynd/A 60556-2022 artfynd.xlsx", "A 60556-2022")</f>
        <v/>
      </c>
      <c r="T815">
        <f>HYPERLINK("https://klasma.github.io/Logging_2031/kartor/A 60556-2022 karta.png", "A 60556-2022")</f>
        <v/>
      </c>
      <c r="V815">
        <f>HYPERLINK("https://klasma.github.io/Logging_2031/klagomål/A 60556-2022 FSC-klagomål.docx", "A 60556-2022")</f>
        <v/>
      </c>
      <c r="W815">
        <f>HYPERLINK("https://klasma.github.io/Logging_2031/klagomålsmail/A 60556-2022 FSC-klagomål mail.docx", "A 60556-2022")</f>
        <v/>
      </c>
      <c r="X815">
        <f>HYPERLINK("https://klasma.github.io/Logging_2031/tillsyn/A 60556-2022 tillsynsbegäran.docx", "A 60556-2022")</f>
        <v/>
      </c>
      <c r="Y815">
        <f>HYPERLINK("https://klasma.github.io/Logging_2031/tillsynsmail/A 60556-2022 tillsynsbegäran mail.docx", "A 60556-2022")</f>
        <v/>
      </c>
    </row>
    <row r="816" ht="15" customHeight="1">
      <c r="A816" t="inlineStr">
        <is>
          <t>A 60954-2022</t>
        </is>
      </c>
      <c r="B816" s="1" t="n">
        <v>44914</v>
      </c>
      <c r="C816" s="1" t="n">
        <v>45706</v>
      </c>
      <c r="D816" t="inlineStr">
        <is>
          <t>DALARNAS LÄN</t>
        </is>
      </c>
      <c r="E816" t="inlineStr">
        <is>
          <t>SÄTER</t>
        </is>
      </c>
      <c r="F816" t="inlineStr">
        <is>
          <t>Kommuner</t>
        </is>
      </c>
      <c r="G816" t="n">
        <v>6.9</v>
      </c>
      <c r="H816" t="n">
        <v>0</v>
      </c>
      <c r="I816" t="n">
        <v>1</v>
      </c>
      <c r="J816" t="n">
        <v>0</v>
      </c>
      <c r="K816" t="n">
        <v>0</v>
      </c>
      <c r="L816" t="n">
        <v>0</v>
      </c>
      <c r="M816" t="n">
        <v>0</v>
      </c>
      <c r="N816" t="n">
        <v>0</v>
      </c>
      <c r="O816" t="n">
        <v>0</v>
      </c>
      <c r="P816" t="n">
        <v>0</v>
      </c>
      <c r="Q816" t="n">
        <v>1</v>
      </c>
      <c r="R816" s="2" t="inlineStr">
        <is>
          <t>Ögonpyrola</t>
        </is>
      </c>
      <c r="S816">
        <f>HYPERLINK("https://klasma.github.io/Logging_2082/artfynd/A 60954-2022 artfynd.xlsx", "A 60954-2022")</f>
        <v/>
      </c>
      <c r="T816">
        <f>HYPERLINK("https://klasma.github.io/Logging_2082/kartor/A 60954-2022 karta.png", "A 60954-2022")</f>
        <v/>
      </c>
      <c r="V816">
        <f>HYPERLINK("https://klasma.github.io/Logging_2082/klagomål/A 60954-2022 FSC-klagomål.docx", "A 60954-2022")</f>
        <v/>
      </c>
      <c r="W816">
        <f>HYPERLINK("https://klasma.github.io/Logging_2082/klagomålsmail/A 60954-2022 FSC-klagomål mail.docx", "A 60954-2022")</f>
        <v/>
      </c>
      <c r="X816">
        <f>HYPERLINK("https://klasma.github.io/Logging_2082/tillsyn/A 60954-2022 tillsynsbegäran.docx", "A 60954-2022")</f>
        <v/>
      </c>
      <c r="Y816">
        <f>HYPERLINK("https://klasma.github.io/Logging_2082/tillsynsmail/A 60954-2022 tillsynsbegäran mail.docx", "A 60954-2022")</f>
        <v/>
      </c>
    </row>
    <row r="817" ht="15" customHeight="1">
      <c r="A817" t="inlineStr">
        <is>
          <t>A 61324-2022</t>
        </is>
      </c>
      <c r="B817" s="1" t="n">
        <v>44915</v>
      </c>
      <c r="C817" s="1" t="n">
        <v>45706</v>
      </c>
      <c r="D817" t="inlineStr">
        <is>
          <t>DALARNAS LÄN</t>
        </is>
      </c>
      <c r="E817" t="inlineStr">
        <is>
          <t>MORA</t>
        </is>
      </c>
      <c r="G817" t="n">
        <v>54.4</v>
      </c>
      <c r="H817" t="n">
        <v>0</v>
      </c>
      <c r="I817" t="n">
        <v>0</v>
      </c>
      <c r="J817" t="n">
        <v>0</v>
      </c>
      <c r="K817" t="n">
        <v>1</v>
      </c>
      <c r="L817" t="n">
        <v>0</v>
      </c>
      <c r="M817" t="n">
        <v>0</v>
      </c>
      <c r="N817" t="n">
        <v>0</v>
      </c>
      <c r="O817" t="n">
        <v>1</v>
      </c>
      <c r="P817" t="n">
        <v>1</v>
      </c>
      <c r="Q817" t="n">
        <v>1</v>
      </c>
      <c r="R817" s="2" t="inlineStr">
        <is>
          <t>Smalfotad taggsvamp</t>
        </is>
      </c>
      <c r="S817">
        <f>HYPERLINK("https://klasma.github.io/Logging_2062/artfynd/A 61324-2022 artfynd.xlsx", "A 61324-2022")</f>
        <v/>
      </c>
      <c r="T817">
        <f>HYPERLINK("https://klasma.github.io/Logging_2062/kartor/A 61324-2022 karta.png", "A 61324-2022")</f>
        <v/>
      </c>
      <c r="V817">
        <f>HYPERLINK("https://klasma.github.io/Logging_2062/klagomål/A 61324-2022 FSC-klagomål.docx", "A 61324-2022")</f>
        <v/>
      </c>
      <c r="W817">
        <f>HYPERLINK("https://klasma.github.io/Logging_2062/klagomålsmail/A 61324-2022 FSC-klagomål mail.docx", "A 61324-2022")</f>
        <v/>
      </c>
      <c r="X817">
        <f>HYPERLINK("https://klasma.github.io/Logging_2062/tillsyn/A 61324-2022 tillsynsbegäran.docx", "A 61324-2022")</f>
        <v/>
      </c>
      <c r="Y817">
        <f>HYPERLINK("https://klasma.github.io/Logging_2062/tillsynsmail/A 61324-2022 tillsynsbegäran mail.docx", "A 61324-2022")</f>
        <v/>
      </c>
    </row>
    <row r="818" ht="15" customHeight="1">
      <c r="A818" t="inlineStr">
        <is>
          <t>A 61535-2022</t>
        </is>
      </c>
      <c r="B818" s="1" t="n">
        <v>44916</v>
      </c>
      <c r="C818" s="1" t="n">
        <v>45706</v>
      </c>
      <c r="D818" t="inlineStr">
        <is>
          <t>DALARNAS LÄN</t>
        </is>
      </c>
      <c r="E818" t="inlineStr">
        <is>
          <t>FALUN</t>
        </is>
      </c>
      <c r="G818" t="n">
        <v>13.1</v>
      </c>
      <c r="H818" t="n">
        <v>1</v>
      </c>
      <c r="I818" t="n">
        <v>0</v>
      </c>
      <c r="J818" t="n">
        <v>1</v>
      </c>
      <c r="K818" t="n">
        <v>0</v>
      </c>
      <c r="L818" t="n">
        <v>0</v>
      </c>
      <c r="M818" t="n">
        <v>0</v>
      </c>
      <c r="N818" t="n">
        <v>0</v>
      </c>
      <c r="O818" t="n">
        <v>1</v>
      </c>
      <c r="P818" t="n">
        <v>0</v>
      </c>
      <c r="Q818" t="n">
        <v>1</v>
      </c>
      <c r="R818" s="2" t="inlineStr">
        <is>
          <t>Spillkråka</t>
        </is>
      </c>
      <c r="S818">
        <f>HYPERLINK("https://klasma.github.io/Logging_2080/artfynd/A 61535-2022 artfynd.xlsx", "A 61535-2022")</f>
        <v/>
      </c>
      <c r="T818">
        <f>HYPERLINK("https://klasma.github.io/Logging_2080/kartor/A 61535-2022 karta.png", "A 61535-2022")</f>
        <v/>
      </c>
      <c r="V818">
        <f>HYPERLINK("https://klasma.github.io/Logging_2080/klagomål/A 61535-2022 FSC-klagomål.docx", "A 61535-2022")</f>
        <v/>
      </c>
      <c r="W818">
        <f>HYPERLINK("https://klasma.github.io/Logging_2080/klagomålsmail/A 61535-2022 FSC-klagomål mail.docx", "A 61535-2022")</f>
        <v/>
      </c>
      <c r="X818">
        <f>HYPERLINK("https://klasma.github.io/Logging_2080/tillsyn/A 61535-2022 tillsynsbegäran.docx", "A 61535-2022")</f>
        <v/>
      </c>
      <c r="Y818">
        <f>HYPERLINK("https://klasma.github.io/Logging_2080/tillsynsmail/A 61535-2022 tillsynsbegäran mail.docx", "A 61535-2022")</f>
        <v/>
      </c>
      <c r="Z818">
        <f>HYPERLINK("https://klasma.github.io/Logging_2080/fåglar/A 61535-2022 prioriterade fågelarter.docx", "A 61535-2022")</f>
        <v/>
      </c>
    </row>
    <row r="819" ht="15" customHeight="1">
      <c r="A819" t="inlineStr">
        <is>
          <t>A 62665-2022</t>
        </is>
      </c>
      <c r="B819" s="1" t="n">
        <v>44917</v>
      </c>
      <c r="C819" s="1" t="n">
        <v>45706</v>
      </c>
      <c r="D819" t="inlineStr">
        <is>
          <t>DALARNAS LÄN</t>
        </is>
      </c>
      <c r="E819" t="inlineStr">
        <is>
          <t>ÄLVDALEN</t>
        </is>
      </c>
      <c r="G819" t="n">
        <v>0.6</v>
      </c>
      <c r="H819" t="n">
        <v>0</v>
      </c>
      <c r="I819" t="n">
        <v>1</v>
      </c>
      <c r="J819" t="n">
        <v>0</v>
      </c>
      <c r="K819" t="n">
        <v>0</v>
      </c>
      <c r="L819" t="n">
        <v>0</v>
      </c>
      <c r="M819" t="n">
        <v>0</v>
      </c>
      <c r="N819" t="n">
        <v>0</v>
      </c>
      <c r="O819" t="n">
        <v>0</v>
      </c>
      <c r="P819" t="n">
        <v>0</v>
      </c>
      <c r="Q819" t="n">
        <v>1</v>
      </c>
      <c r="R819" s="2" t="inlineStr">
        <is>
          <t>Luddlav</t>
        </is>
      </c>
      <c r="S819">
        <f>HYPERLINK("https://klasma.github.io/Logging_2039/artfynd/A 62665-2022 artfynd.xlsx", "A 62665-2022")</f>
        <v/>
      </c>
      <c r="T819">
        <f>HYPERLINK("https://klasma.github.io/Logging_2039/kartor/A 62665-2022 karta.png", "A 62665-2022")</f>
        <v/>
      </c>
      <c r="V819">
        <f>HYPERLINK("https://klasma.github.io/Logging_2039/klagomål/A 62665-2022 FSC-klagomål.docx", "A 62665-2022")</f>
        <v/>
      </c>
      <c r="W819">
        <f>HYPERLINK("https://klasma.github.io/Logging_2039/klagomålsmail/A 62665-2022 FSC-klagomål mail.docx", "A 62665-2022")</f>
        <v/>
      </c>
      <c r="X819">
        <f>HYPERLINK("https://klasma.github.io/Logging_2039/tillsyn/A 62665-2022 tillsynsbegäran.docx", "A 62665-2022")</f>
        <v/>
      </c>
      <c r="Y819">
        <f>HYPERLINK("https://klasma.github.io/Logging_2039/tillsynsmail/A 62665-2022 tillsynsbegäran mail.docx", "A 62665-2022")</f>
        <v/>
      </c>
    </row>
    <row r="820" ht="15" customHeight="1">
      <c r="A820" t="inlineStr">
        <is>
          <t>A 61983-2022</t>
        </is>
      </c>
      <c r="B820" s="1" t="n">
        <v>44918</v>
      </c>
      <c r="C820" s="1" t="n">
        <v>45706</v>
      </c>
      <c r="D820" t="inlineStr">
        <is>
          <t>DALARNAS LÄN</t>
        </is>
      </c>
      <c r="E820" t="inlineStr">
        <is>
          <t>RÄTTVIK</t>
        </is>
      </c>
      <c r="F820" t="inlineStr">
        <is>
          <t>Sveaskog</t>
        </is>
      </c>
      <c r="G820" t="n">
        <v>1.1</v>
      </c>
      <c r="H820" t="n">
        <v>0</v>
      </c>
      <c r="I820" t="n">
        <v>1</v>
      </c>
      <c r="J820" t="n">
        <v>0</v>
      </c>
      <c r="K820" t="n">
        <v>0</v>
      </c>
      <c r="L820" t="n">
        <v>0</v>
      </c>
      <c r="M820" t="n">
        <v>0</v>
      </c>
      <c r="N820" t="n">
        <v>0</v>
      </c>
      <c r="O820" t="n">
        <v>0</v>
      </c>
      <c r="P820" t="n">
        <v>0</v>
      </c>
      <c r="Q820" t="n">
        <v>1</v>
      </c>
      <c r="R820" s="2" t="inlineStr">
        <is>
          <t>Bronshjon</t>
        </is>
      </c>
      <c r="S820">
        <f>HYPERLINK("https://klasma.github.io/Logging_2031/artfynd/A 61983-2022 artfynd.xlsx", "A 61983-2022")</f>
        <v/>
      </c>
      <c r="T820">
        <f>HYPERLINK("https://klasma.github.io/Logging_2031/kartor/A 61983-2022 karta.png", "A 61983-2022")</f>
        <v/>
      </c>
      <c r="V820">
        <f>HYPERLINK("https://klasma.github.io/Logging_2031/klagomål/A 61983-2022 FSC-klagomål.docx", "A 61983-2022")</f>
        <v/>
      </c>
      <c r="W820">
        <f>HYPERLINK("https://klasma.github.io/Logging_2031/klagomålsmail/A 61983-2022 FSC-klagomål mail.docx", "A 61983-2022")</f>
        <v/>
      </c>
      <c r="X820">
        <f>HYPERLINK("https://klasma.github.io/Logging_2031/tillsyn/A 61983-2022 tillsynsbegäran.docx", "A 61983-2022")</f>
        <v/>
      </c>
      <c r="Y820">
        <f>HYPERLINK("https://klasma.github.io/Logging_2031/tillsynsmail/A 61983-2022 tillsynsbegäran mail.docx", "A 61983-2022")</f>
        <v/>
      </c>
    </row>
    <row r="821" ht="15" customHeight="1">
      <c r="A821" t="inlineStr">
        <is>
          <t>A 381-2023</t>
        </is>
      </c>
      <c r="B821" s="1" t="n">
        <v>44929</v>
      </c>
      <c r="C821" s="1" t="n">
        <v>45706</v>
      </c>
      <c r="D821" t="inlineStr">
        <is>
          <t>DALARNAS LÄN</t>
        </is>
      </c>
      <c r="E821" t="inlineStr">
        <is>
          <t>LUDVIKA</t>
        </is>
      </c>
      <c r="G821" t="n">
        <v>7.9</v>
      </c>
      <c r="H821" t="n">
        <v>1</v>
      </c>
      <c r="I821" t="n">
        <v>0</v>
      </c>
      <c r="J821" t="n">
        <v>0</v>
      </c>
      <c r="K821" t="n">
        <v>0</v>
      </c>
      <c r="L821" t="n">
        <v>0</v>
      </c>
      <c r="M821" t="n">
        <v>0</v>
      </c>
      <c r="N821" t="n">
        <v>0</v>
      </c>
      <c r="O821" t="n">
        <v>0</v>
      </c>
      <c r="P821" t="n">
        <v>0</v>
      </c>
      <c r="Q821" t="n">
        <v>1</v>
      </c>
      <c r="R821" s="2" t="inlineStr">
        <is>
          <t>Fläcknycklar</t>
        </is>
      </c>
      <c r="S821">
        <f>HYPERLINK("https://klasma.github.io/Logging_2085/artfynd/A 381-2023 artfynd.xlsx", "A 381-2023")</f>
        <v/>
      </c>
      <c r="T821">
        <f>HYPERLINK("https://klasma.github.io/Logging_2085/kartor/A 381-2023 karta.png", "A 381-2023")</f>
        <v/>
      </c>
      <c r="V821">
        <f>HYPERLINK("https://klasma.github.io/Logging_2085/klagomål/A 381-2023 FSC-klagomål.docx", "A 381-2023")</f>
        <v/>
      </c>
      <c r="W821">
        <f>HYPERLINK("https://klasma.github.io/Logging_2085/klagomålsmail/A 381-2023 FSC-klagomål mail.docx", "A 381-2023")</f>
        <v/>
      </c>
      <c r="X821">
        <f>HYPERLINK("https://klasma.github.io/Logging_2085/tillsyn/A 381-2023 tillsynsbegäran.docx", "A 381-2023")</f>
        <v/>
      </c>
      <c r="Y821">
        <f>HYPERLINK("https://klasma.github.io/Logging_2085/tillsynsmail/A 381-2023 tillsynsbegäran mail.docx", "A 381-2023")</f>
        <v/>
      </c>
    </row>
    <row r="822" ht="15" customHeight="1">
      <c r="A822" t="inlineStr">
        <is>
          <t>A 865-2023</t>
        </is>
      </c>
      <c r="B822" s="1" t="n">
        <v>44931</v>
      </c>
      <c r="C822" s="1" t="n">
        <v>45706</v>
      </c>
      <c r="D822" t="inlineStr">
        <is>
          <t>DALARNAS LÄN</t>
        </is>
      </c>
      <c r="E822" t="inlineStr">
        <is>
          <t>BORLÄNGE</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HYPERLINK("https://klasma.github.io/Logging_2081/artfynd/A 865-2023 artfynd.xlsx", "A 865-2023")</f>
        <v/>
      </c>
      <c r="T822">
        <f>HYPERLINK("https://klasma.github.io/Logging_2081/kartor/A 865-2023 karta.png", "A 865-2023")</f>
        <v/>
      </c>
      <c r="U822">
        <f>HYPERLINK("https://klasma.github.io/Logging_2081/knärot/A 865-2023 karta knärot.png", "A 865-2023")</f>
        <v/>
      </c>
      <c r="V822">
        <f>HYPERLINK("https://klasma.github.io/Logging_2081/klagomål/A 865-2023 FSC-klagomål.docx", "A 865-2023")</f>
        <v/>
      </c>
      <c r="W822">
        <f>HYPERLINK("https://klasma.github.io/Logging_2081/klagomålsmail/A 865-2023 FSC-klagomål mail.docx", "A 865-2023")</f>
        <v/>
      </c>
      <c r="X822">
        <f>HYPERLINK("https://klasma.github.io/Logging_2081/tillsyn/A 865-2023 tillsynsbegäran.docx", "A 865-2023")</f>
        <v/>
      </c>
      <c r="Y822">
        <f>HYPERLINK("https://klasma.github.io/Logging_2081/tillsynsmail/A 865-2023 tillsynsbegäran mail.docx", "A 865-2023")</f>
        <v/>
      </c>
    </row>
    <row r="823" ht="15" customHeight="1">
      <c r="A823" t="inlineStr">
        <is>
          <t>A 3528-2023</t>
        </is>
      </c>
      <c r="B823" s="1" t="n">
        <v>44950</v>
      </c>
      <c r="C823" s="1" t="n">
        <v>45706</v>
      </c>
      <c r="D823" t="inlineStr">
        <is>
          <t>DALARNAS LÄN</t>
        </is>
      </c>
      <c r="E823" t="inlineStr">
        <is>
          <t>SÄTER</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HYPERLINK("https://klasma.github.io/Logging_2082/artfynd/A 3528-2023 artfynd.xlsx", "A 3528-2023")</f>
        <v/>
      </c>
      <c r="T823">
        <f>HYPERLINK("https://klasma.github.io/Logging_2082/kartor/A 3528-2023 karta.png", "A 3528-2023")</f>
        <v/>
      </c>
      <c r="U823">
        <f>HYPERLINK("https://klasma.github.io/Logging_2082/knärot/A 3528-2023 karta knärot.png", "A 3528-2023")</f>
        <v/>
      </c>
      <c r="V823">
        <f>HYPERLINK("https://klasma.github.io/Logging_2082/klagomål/A 3528-2023 FSC-klagomål.docx", "A 3528-2023")</f>
        <v/>
      </c>
      <c r="W823">
        <f>HYPERLINK("https://klasma.github.io/Logging_2082/klagomålsmail/A 3528-2023 FSC-klagomål mail.docx", "A 3528-2023")</f>
        <v/>
      </c>
      <c r="X823">
        <f>HYPERLINK("https://klasma.github.io/Logging_2082/tillsyn/A 3528-2023 tillsynsbegäran.docx", "A 3528-2023")</f>
        <v/>
      </c>
      <c r="Y823">
        <f>HYPERLINK("https://klasma.github.io/Logging_2082/tillsynsmail/A 3528-2023 tillsynsbegäran mail.docx", "A 3528-2023")</f>
        <v/>
      </c>
    </row>
    <row r="824" ht="15" customHeight="1">
      <c r="A824" t="inlineStr">
        <is>
          <t>A 5070-2023</t>
        </is>
      </c>
      <c r="B824" s="1" t="n">
        <v>44958</v>
      </c>
      <c r="C824" s="1" t="n">
        <v>45706</v>
      </c>
      <c r="D824" t="inlineStr">
        <is>
          <t>DALARNAS LÄN</t>
        </is>
      </c>
      <c r="E824" t="inlineStr">
        <is>
          <t>VANSBRO</t>
        </is>
      </c>
      <c r="F824" t="inlineStr">
        <is>
          <t>Övriga statliga verk och myndigheter</t>
        </is>
      </c>
      <c r="G824" t="n">
        <v>7.4</v>
      </c>
      <c r="H824" t="n">
        <v>0</v>
      </c>
      <c r="I824" t="n">
        <v>0</v>
      </c>
      <c r="J824" t="n">
        <v>1</v>
      </c>
      <c r="K824" t="n">
        <v>0</v>
      </c>
      <c r="L824" t="n">
        <v>0</v>
      </c>
      <c r="M824" t="n">
        <v>0</v>
      </c>
      <c r="N824" t="n">
        <v>0</v>
      </c>
      <c r="O824" t="n">
        <v>1</v>
      </c>
      <c r="P824" t="n">
        <v>0</v>
      </c>
      <c r="Q824" t="n">
        <v>1</v>
      </c>
      <c r="R824" s="2" t="inlineStr">
        <is>
          <t>Späd bäckmossa</t>
        </is>
      </c>
      <c r="S824">
        <f>HYPERLINK("https://klasma.github.io/Logging_2021/artfynd/A 5070-2023 artfynd.xlsx", "A 5070-2023")</f>
        <v/>
      </c>
      <c r="T824">
        <f>HYPERLINK("https://klasma.github.io/Logging_2021/kartor/A 5070-2023 karta.png", "A 5070-2023")</f>
        <v/>
      </c>
      <c r="U824">
        <f>HYPERLINK("https://klasma.github.io/Logging_2021/knärot/A 5070-2023 karta knärot.png", "A 5070-2023")</f>
        <v/>
      </c>
      <c r="V824">
        <f>HYPERLINK("https://klasma.github.io/Logging_2021/klagomål/A 5070-2023 FSC-klagomål.docx", "A 5070-2023")</f>
        <v/>
      </c>
      <c r="W824">
        <f>HYPERLINK("https://klasma.github.io/Logging_2021/klagomålsmail/A 5070-2023 FSC-klagomål mail.docx", "A 5070-2023")</f>
        <v/>
      </c>
      <c r="X824">
        <f>HYPERLINK("https://klasma.github.io/Logging_2021/tillsyn/A 5070-2023 tillsynsbegäran.docx", "A 5070-2023")</f>
        <v/>
      </c>
      <c r="Y824">
        <f>HYPERLINK("https://klasma.github.io/Logging_2021/tillsynsmail/A 5070-2023 tillsynsbegäran mail.docx", "A 5070-2023")</f>
        <v/>
      </c>
    </row>
    <row r="825" ht="15" customHeight="1">
      <c r="A825" t="inlineStr">
        <is>
          <t>A 5304-2023</t>
        </is>
      </c>
      <c r="B825" s="1" t="n">
        <v>44959</v>
      </c>
      <c r="C825" s="1" t="n">
        <v>45706</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6317-2023</t>
        </is>
      </c>
      <c r="B826" s="1" t="n">
        <v>44965</v>
      </c>
      <c r="C826" s="1" t="n">
        <v>45706</v>
      </c>
      <c r="D826" t="inlineStr">
        <is>
          <t>DALARNAS LÄN</t>
        </is>
      </c>
      <c r="E826" t="inlineStr">
        <is>
          <t>FALUN</t>
        </is>
      </c>
      <c r="G826" t="n">
        <v>1.4</v>
      </c>
      <c r="H826" t="n">
        <v>1</v>
      </c>
      <c r="I826" t="n">
        <v>0</v>
      </c>
      <c r="J826" t="n">
        <v>0</v>
      </c>
      <c r="K826" t="n">
        <v>0</v>
      </c>
      <c r="L826" t="n">
        <v>0</v>
      </c>
      <c r="M826" t="n">
        <v>0</v>
      </c>
      <c r="N826" t="n">
        <v>0</v>
      </c>
      <c r="O826" t="n">
        <v>0</v>
      </c>
      <c r="P826" t="n">
        <v>0</v>
      </c>
      <c r="Q826" t="n">
        <v>1</v>
      </c>
      <c r="R826" s="2" t="inlineStr">
        <is>
          <t>Sparvuggla</t>
        </is>
      </c>
      <c r="S826">
        <f>HYPERLINK("https://klasma.github.io/Logging_2080/artfynd/A 6317-2023 artfynd.xlsx", "A 6317-2023")</f>
        <v/>
      </c>
      <c r="T826">
        <f>HYPERLINK("https://klasma.github.io/Logging_2080/kartor/A 6317-2023 karta.png", "A 6317-2023")</f>
        <v/>
      </c>
      <c r="V826">
        <f>HYPERLINK("https://klasma.github.io/Logging_2080/klagomål/A 6317-2023 FSC-klagomål.docx", "A 6317-2023")</f>
        <v/>
      </c>
      <c r="W826">
        <f>HYPERLINK("https://klasma.github.io/Logging_2080/klagomålsmail/A 6317-2023 FSC-klagomål mail.docx", "A 6317-2023")</f>
        <v/>
      </c>
      <c r="X826">
        <f>HYPERLINK("https://klasma.github.io/Logging_2080/tillsyn/A 6317-2023 tillsynsbegäran.docx", "A 6317-2023")</f>
        <v/>
      </c>
      <c r="Y826">
        <f>HYPERLINK("https://klasma.github.io/Logging_2080/tillsynsmail/A 6317-2023 tillsynsbegäran mail.docx", "A 6317-2023")</f>
        <v/>
      </c>
      <c r="Z826">
        <f>HYPERLINK("https://klasma.github.io/Logging_2080/fåglar/A 6317-2023 prioriterade fågelarter.docx", "A 6317-2023")</f>
        <v/>
      </c>
    </row>
    <row r="827" ht="15" customHeight="1">
      <c r="A827" t="inlineStr">
        <is>
          <t>A 6977-2023</t>
        </is>
      </c>
      <c r="B827" s="1" t="n">
        <v>44967</v>
      </c>
      <c r="C827" s="1" t="n">
        <v>45706</v>
      </c>
      <c r="D827" t="inlineStr">
        <is>
          <t>DALARNAS LÄN</t>
        </is>
      </c>
      <c r="E827" t="inlineStr">
        <is>
          <t>LEKSAND</t>
        </is>
      </c>
      <c r="G827" t="n">
        <v>5</v>
      </c>
      <c r="H827" t="n">
        <v>0</v>
      </c>
      <c r="I827" t="n">
        <v>0</v>
      </c>
      <c r="J827" t="n">
        <v>1</v>
      </c>
      <c r="K827" t="n">
        <v>0</v>
      </c>
      <c r="L827" t="n">
        <v>0</v>
      </c>
      <c r="M827" t="n">
        <v>0</v>
      </c>
      <c r="N827" t="n">
        <v>0</v>
      </c>
      <c r="O827" t="n">
        <v>1</v>
      </c>
      <c r="P827" t="n">
        <v>0</v>
      </c>
      <c r="Q827" t="n">
        <v>1</v>
      </c>
      <c r="R827" s="2" t="inlineStr">
        <is>
          <t>Backstarr</t>
        </is>
      </c>
      <c r="S827">
        <f>HYPERLINK("https://klasma.github.io/Logging_2029/artfynd/A 6977-2023 artfynd.xlsx", "A 6977-2023")</f>
        <v/>
      </c>
      <c r="T827">
        <f>HYPERLINK("https://klasma.github.io/Logging_2029/kartor/A 6977-2023 karta.png", "A 6977-2023")</f>
        <v/>
      </c>
      <c r="V827">
        <f>HYPERLINK("https://klasma.github.io/Logging_2029/klagomål/A 6977-2023 FSC-klagomål.docx", "A 6977-2023")</f>
        <v/>
      </c>
      <c r="W827">
        <f>HYPERLINK("https://klasma.github.io/Logging_2029/klagomålsmail/A 6977-2023 FSC-klagomål mail.docx", "A 6977-2023")</f>
        <v/>
      </c>
      <c r="X827">
        <f>HYPERLINK("https://klasma.github.io/Logging_2029/tillsyn/A 6977-2023 tillsynsbegäran.docx", "A 6977-2023")</f>
        <v/>
      </c>
      <c r="Y827">
        <f>HYPERLINK("https://klasma.github.io/Logging_2029/tillsynsmail/A 6977-2023 tillsynsbegäran mail.docx", "A 6977-2023")</f>
        <v/>
      </c>
    </row>
    <row r="828" ht="15" customHeight="1">
      <c r="A828" t="inlineStr">
        <is>
          <t>A 8529-2023</t>
        </is>
      </c>
      <c r="B828" s="1" t="n">
        <v>44977</v>
      </c>
      <c r="C828" s="1" t="n">
        <v>45706</v>
      </c>
      <c r="D828" t="inlineStr">
        <is>
          <t>DALARNAS LÄN</t>
        </is>
      </c>
      <c r="E828" t="inlineStr">
        <is>
          <t>LEKSAND</t>
        </is>
      </c>
      <c r="G828" t="n">
        <v>2.7</v>
      </c>
      <c r="H828" t="n">
        <v>1</v>
      </c>
      <c r="I828" t="n">
        <v>0</v>
      </c>
      <c r="J828" t="n">
        <v>0</v>
      </c>
      <c r="K828" t="n">
        <v>1</v>
      </c>
      <c r="L828" t="n">
        <v>0</v>
      </c>
      <c r="M828" t="n">
        <v>0</v>
      </c>
      <c r="N828" t="n">
        <v>0</v>
      </c>
      <c r="O828" t="n">
        <v>1</v>
      </c>
      <c r="P828" t="n">
        <v>1</v>
      </c>
      <c r="Q828" t="n">
        <v>1</v>
      </c>
      <c r="R828" s="2" t="inlineStr">
        <is>
          <t>Knärot</t>
        </is>
      </c>
      <c r="S828">
        <f>HYPERLINK("https://klasma.github.io/Logging_2029/artfynd/A 8529-2023 artfynd.xlsx", "A 8529-2023")</f>
        <v/>
      </c>
      <c r="T828">
        <f>HYPERLINK("https://klasma.github.io/Logging_2029/kartor/A 8529-2023 karta.png", "A 8529-2023")</f>
        <v/>
      </c>
      <c r="U828">
        <f>HYPERLINK("https://klasma.github.io/Logging_2029/knärot/A 8529-2023 karta knärot.png", "A 8529-2023")</f>
        <v/>
      </c>
      <c r="V828">
        <f>HYPERLINK("https://klasma.github.io/Logging_2029/klagomål/A 8529-2023 FSC-klagomål.docx", "A 8529-2023")</f>
        <v/>
      </c>
      <c r="W828">
        <f>HYPERLINK("https://klasma.github.io/Logging_2029/klagomålsmail/A 8529-2023 FSC-klagomål mail.docx", "A 8529-2023")</f>
        <v/>
      </c>
      <c r="X828">
        <f>HYPERLINK("https://klasma.github.io/Logging_2029/tillsyn/A 8529-2023 tillsynsbegäran.docx", "A 8529-2023")</f>
        <v/>
      </c>
      <c r="Y828">
        <f>HYPERLINK("https://klasma.github.io/Logging_2029/tillsynsmail/A 8529-2023 tillsynsbegäran mail.docx", "A 8529-2023")</f>
        <v/>
      </c>
    </row>
    <row r="829" ht="15" customHeight="1">
      <c r="A829" t="inlineStr">
        <is>
          <t>A 10247-2023</t>
        </is>
      </c>
      <c r="B829" s="1" t="n">
        <v>44986</v>
      </c>
      <c r="C829" s="1" t="n">
        <v>45706</v>
      </c>
      <c r="D829" t="inlineStr">
        <is>
          <t>DALARNAS LÄN</t>
        </is>
      </c>
      <c r="E829" t="inlineStr">
        <is>
          <t>RÄTTVIK</t>
        </is>
      </c>
      <c r="G829" t="n">
        <v>9.9</v>
      </c>
      <c r="H829" t="n">
        <v>0</v>
      </c>
      <c r="I829" t="n">
        <v>0</v>
      </c>
      <c r="J829" t="n">
        <v>1</v>
      </c>
      <c r="K829" t="n">
        <v>0</v>
      </c>
      <c r="L829" t="n">
        <v>0</v>
      </c>
      <c r="M829" t="n">
        <v>0</v>
      </c>
      <c r="N829" t="n">
        <v>0</v>
      </c>
      <c r="O829" t="n">
        <v>1</v>
      </c>
      <c r="P829" t="n">
        <v>0</v>
      </c>
      <c r="Q829" t="n">
        <v>1</v>
      </c>
      <c r="R829" s="2" t="inlineStr">
        <is>
          <t>Dvärgbägarlav</t>
        </is>
      </c>
      <c r="S829">
        <f>HYPERLINK("https://klasma.github.io/Logging_2031/artfynd/A 10247-2023 artfynd.xlsx", "A 10247-2023")</f>
        <v/>
      </c>
      <c r="T829">
        <f>HYPERLINK("https://klasma.github.io/Logging_2031/kartor/A 10247-2023 karta.png", "A 10247-2023")</f>
        <v/>
      </c>
      <c r="V829">
        <f>HYPERLINK("https://klasma.github.io/Logging_2031/klagomål/A 10247-2023 FSC-klagomål.docx", "A 10247-2023")</f>
        <v/>
      </c>
      <c r="W829">
        <f>HYPERLINK("https://klasma.github.io/Logging_2031/klagomålsmail/A 10247-2023 FSC-klagomål mail.docx", "A 10247-2023")</f>
        <v/>
      </c>
      <c r="X829">
        <f>HYPERLINK("https://klasma.github.io/Logging_2031/tillsyn/A 10247-2023 tillsynsbegäran.docx", "A 10247-2023")</f>
        <v/>
      </c>
      <c r="Y829">
        <f>HYPERLINK("https://klasma.github.io/Logging_2031/tillsynsmail/A 10247-2023 tillsynsbegäran mail.docx", "A 10247-2023")</f>
        <v/>
      </c>
    </row>
    <row r="830" ht="15" customHeight="1">
      <c r="A830" t="inlineStr">
        <is>
          <t>A 11754-2023</t>
        </is>
      </c>
      <c r="B830" s="1" t="n">
        <v>44993</v>
      </c>
      <c r="C830" s="1" t="n">
        <v>45706</v>
      </c>
      <c r="D830" t="inlineStr">
        <is>
          <t>DALARNAS LÄN</t>
        </is>
      </c>
      <c r="E830" t="inlineStr">
        <is>
          <t>LEKSAND</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HYPERLINK("https://klasma.github.io/Logging_2029/artfynd/A 11754-2023 artfynd.xlsx", "A 11754-2023")</f>
        <v/>
      </c>
      <c r="T830">
        <f>HYPERLINK("https://klasma.github.io/Logging_2029/kartor/A 11754-2023 karta.png", "A 11754-2023")</f>
        <v/>
      </c>
      <c r="U830">
        <f>HYPERLINK("https://klasma.github.io/Logging_2029/knärot/A 11754-2023 karta knärot.png", "A 11754-2023")</f>
        <v/>
      </c>
      <c r="V830">
        <f>HYPERLINK("https://klasma.github.io/Logging_2029/klagomål/A 11754-2023 FSC-klagomål.docx", "A 11754-2023")</f>
        <v/>
      </c>
      <c r="W830">
        <f>HYPERLINK("https://klasma.github.io/Logging_2029/klagomålsmail/A 11754-2023 FSC-klagomål mail.docx", "A 11754-2023")</f>
        <v/>
      </c>
      <c r="X830">
        <f>HYPERLINK("https://klasma.github.io/Logging_2029/tillsyn/A 11754-2023 tillsynsbegäran.docx", "A 11754-2023")</f>
        <v/>
      </c>
      <c r="Y830">
        <f>HYPERLINK("https://klasma.github.io/Logging_2029/tillsynsmail/A 11754-2023 tillsynsbegäran mail.docx", "A 11754-2023")</f>
        <v/>
      </c>
    </row>
    <row r="831" ht="15" customHeight="1">
      <c r="A831" t="inlineStr">
        <is>
          <t>A 11742-2023</t>
        </is>
      </c>
      <c r="B831" s="1" t="n">
        <v>44994</v>
      </c>
      <c r="C831" s="1" t="n">
        <v>45706</v>
      </c>
      <c r="D831" t="inlineStr">
        <is>
          <t>DALARNAS LÄN</t>
        </is>
      </c>
      <c r="E831" t="inlineStr">
        <is>
          <t>HEDEMORA</t>
        </is>
      </c>
      <c r="G831" t="n">
        <v>6</v>
      </c>
      <c r="H831" t="n">
        <v>0</v>
      </c>
      <c r="I831" t="n">
        <v>0</v>
      </c>
      <c r="J831" t="n">
        <v>1</v>
      </c>
      <c r="K831" t="n">
        <v>0</v>
      </c>
      <c r="L831" t="n">
        <v>0</v>
      </c>
      <c r="M831" t="n">
        <v>0</v>
      </c>
      <c r="N831" t="n">
        <v>0</v>
      </c>
      <c r="O831" t="n">
        <v>1</v>
      </c>
      <c r="P831" t="n">
        <v>0</v>
      </c>
      <c r="Q831" t="n">
        <v>1</v>
      </c>
      <c r="R831" s="2" t="inlineStr">
        <is>
          <t>Tallticka</t>
        </is>
      </c>
      <c r="S831">
        <f>HYPERLINK("https://klasma.github.io/Logging_2083/artfynd/A 11742-2023 artfynd.xlsx", "A 11742-2023")</f>
        <v/>
      </c>
      <c r="T831">
        <f>HYPERLINK("https://klasma.github.io/Logging_2083/kartor/A 11742-2023 karta.png", "A 11742-2023")</f>
        <v/>
      </c>
      <c r="V831">
        <f>HYPERLINK("https://klasma.github.io/Logging_2083/klagomål/A 11742-2023 FSC-klagomål.docx", "A 11742-2023")</f>
        <v/>
      </c>
      <c r="W831">
        <f>HYPERLINK("https://klasma.github.io/Logging_2083/klagomålsmail/A 11742-2023 FSC-klagomål mail.docx", "A 11742-2023")</f>
        <v/>
      </c>
      <c r="X831">
        <f>HYPERLINK("https://klasma.github.io/Logging_2083/tillsyn/A 11742-2023 tillsynsbegäran.docx", "A 11742-2023")</f>
        <v/>
      </c>
      <c r="Y831">
        <f>HYPERLINK("https://klasma.github.io/Logging_2083/tillsynsmail/A 11742-2023 tillsynsbegäran mail.docx", "A 11742-2023")</f>
        <v/>
      </c>
    </row>
    <row r="832" ht="15" customHeight="1">
      <c r="A832" t="inlineStr">
        <is>
          <t>A 11846-2023</t>
        </is>
      </c>
      <c r="B832" s="1" t="n">
        <v>44995</v>
      </c>
      <c r="C832" s="1" t="n">
        <v>45706</v>
      </c>
      <c r="D832" t="inlineStr">
        <is>
          <t>DALARNAS LÄN</t>
        </is>
      </c>
      <c r="E832" t="inlineStr">
        <is>
          <t>BORLÄNGE</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HYPERLINK("https://klasma.github.io/Logging_2081/artfynd/A 11846-2023 artfynd.xlsx", "A 11846-2023")</f>
        <v/>
      </c>
      <c r="T832">
        <f>HYPERLINK("https://klasma.github.io/Logging_2081/kartor/A 11846-2023 karta.png", "A 11846-2023")</f>
        <v/>
      </c>
      <c r="V832">
        <f>HYPERLINK("https://klasma.github.io/Logging_2081/klagomål/A 11846-2023 FSC-klagomål.docx", "A 11846-2023")</f>
        <v/>
      </c>
      <c r="W832">
        <f>HYPERLINK("https://klasma.github.io/Logging_2081/klagomålsmail/A 11846-2023 FSC-klagomål mail.docx", "A 11846-2023")</f>
        <v/>
      </c>
      <c r="X832">
        <f>HYPERLINK("https://klasma.github.io/Logging_2081/tillsyn/A 11846-2023 tillsynsbegäran.docx", "A 11846-2023")</f>
        <v/>
      </c>
      <c r="Y832">
        <f>HYPERLINK("https://klasma.github.io/Logging_2081/tillsynsmail/A 11846-2023 tillsynsbegäran mail.docx", "A 11846-2023")</f>
        <v/>
      </c>
    </row>
    <row r="833" ht="15" customHeight="1">
      <c r="A833" t="inlineStr">
        <is>
          <t>A 12357-2023</t>
        </is>
      </c>
      <c r="B833" s="1" t="n">
        <v>44999</v>
      </c>
      <c r="C833" s="1" t="n">
        <v>45706</v>
      </c>
      <c r="D833" t="inlineStr">
        <is>
          <t>DALARNAS LÄN</t>
        </is>
      </c>
      <c r="E833" t="inlineStr">
        <is>
          <t>AVESTA</t>
        </is>
      </c>
      <c r="G833" t="n">
        <v>1.8</v>
      </c>
      <c r="H833" t="n">
        <v>1</v>
      </c>
      <c r="I833" t="n">
        <v>0</v>
      </c>
      <c r="J833" t="n">
        <v>1</v>
      </c>
      <c r="K833" t="n">
        <v>0</v>
      </c>
      <c r="L833" t="n">
        <v>0</v>
      </c>
      <c r="M833" t="n">
        <v>0</v>
      </c>
      <c r="N833" t="n">
        <v>0</v>
      </c>
      <c r="O833" t="n">
        <v>1</v>
      </c>
      <c r="P833" t="n">
        <v>0</v>
      </c>
      <c r="Q833" t="n">
        <v>1</v>
      </c>
      <c r="R833" s="2" t="inlineStr">
        <is>
          <t>Rödvingetrast</t>
        </is>
      </c>
      <c r="S833">
        <f>HYPERLINK("https://klasma.github.io/Logging_2084/artfynd/A 12357-2023 artfynd.xlsx", "A 12357-2023")</f>
        <v/>
      </c>
      <c r="T833">
        <f>HYPERLINK("https://klasma.github.io/Logging_2084/kartor/A 12357-2023 karta.png", "A 12357-2023")</f>
        <v/>
      </c>
      <c r="V833">
        <f>HYPERLINK("https://klasma.github.io/Logging_2084/klagomål/A 12357-2023 FSC-klagomål.docx", "A 12357-2023")</f>
        <v/>
      </c>
      <c r="W833">
        <f>HYPERLINK("https://klasma.github.io/Logging_2084/klagomålsmail/A 12357-2023 FSC-klagomål mail.docx", "A 12357-2023")</f>
        <v/>
      </c>
      <c r="X833">
        <f>HYPERLINK("https://klasma.github.io/Logging_2084/tillsyn/A 12357-2023 tillsynsbegäran.docx", "A 12357-2023")</f>
        <v/>
      </c>
      <c r="Y833">
        <f>HYPERLINK("https://klasma.github.io/Logging_2084/tillsynsmail/A 12357-2023 tillsynsbegäran mail.docx", "A 12357-2023")</f>
        <v/>
      </c>
      <c r="Z833">
        <f>HYPERLINK("https://klasma.github.io/Logging_2084/fåglar/A 12357-2023 prioriterade fågelarter.docx", "A 12357-2023")</f>
        <v/>
      </c>
    </row>
    <row r="834" ht="15" customHeight="1">
      <c r="A834" t="inlineStr">
        <is>
          <t>A 13986-2023</t>
        </is>
      </c>
      <c r="B834" s="1" t="n">
        <v>45008</v>
      </c>
      <c r="C834" s="1" t="n">
        <v>45706</v>
      </c>
      <c r="D834" t="inlineStr">
        <is>
          <t>DALARNAS LÄN</t>
        </is>
      </c>
      <c r="E834" t="inlineStr">
        <is>
          <t>HEDEMORA</t>
        </is>
      </c>
      <c r="G834" t="n">
        <v>0.8</v>
      </c>
      <c r="H834" t="n">
        <v>1</v>
      </c>
      <c r="I834" t="n">
        <v>0</v>
      </c>
      <c r="J834" t="n">
        <v>0</v>
      </c>
      <c r="K834" t="n">
        <v>1</v>
      </c>
      <c r="L834" t="n">
        <v>0</v>
      </c>
      <c r="M834" t="n">
        <v>0</v>
      </c>
      <c r="N834" t="n">
        <v>0</v>
      </c>
      <c r="O834" t="n">
        <v>1</v>
      </c>
      <c r="P834" t="n">
        <v>1</v>
      </c>
      <c r="Q834" t="n">
        <v>1</v>
      </c>
      <c r="R834" s="2" t="inlineStr">
        <is>
          <t>Knärot</t>
        </is>
      </c>
      <c r="S834">
        <f>HYPERLINK("https://klasma.github.io/Logging_2083/artfynd/A 13986-2023 artfynd.xlsx", "A 13986-2023")</f>
        <v/>
      </c>
      <c r="T834">
        <f>HYPERLINK("https://klasma.github.io/Logging_2083/kartor/A 13986-2023 karta.png", "A 13986-2023")</f>
        <v/>
      </c>
      <c r="U834">
        <f>HYPERLINK("https://klasma.github.io/Logging_2083/knärot/A 13986-2023 karta knärot.png", "A 13986-2023")</f>
        <v/>
      </c>
      <c r="V834">
        <f>HYPERLINK("https://klasma.github.io/Logging_2083/klagomål/A 13986-2023 FSC-klagomål.docx", "A 13986-2023")</f>
        <v/>
      </c>
      <c r="W834">
        <f>HYPERLINK("https://klasma.github.io/Logging_2083/klagomålsmail/A 13986-2023 FSC-klagomål mail.docx", "A 13986-2023")</f>
        <v/>
      </c>
      <c r="X834">
        <f>HYPERLINK("https://klasma.github.io/Logging_2083/tillsyn/A 13986-2023 tillsynsbegäran.docx", "A 13986-2023")</f>
        <v/>
      </c>
      <c r="Y834">
        <f>HYPERLINK("https://klasma.github.io/Logging_2083/tillsynsmail/A 13986-2023 tillsynsbegäran mail.docx", "A 13986-2023")</f>
        <v/>
      </c>
    </row>
    <row r="835" ht="15" customHeight="1">
      <c r="A835" t="inlineStr">
        <is>
          <t>A 15124-2023</t>
        </is>
      </c>
      <c r="B835" s="1" t="n">
        <v>45015</v>
      </c>
      <c r="C835" s="1" t="n">
        <v>45706</v>
      </c>
      <c r="D835" t="inlineStr">
        <is>
          <t>DALARNAS LÄN</t>
        </is>
      </c>
      <c r="E835" t="inlineStr">
        <is>
          <t>SMEDJEBACKEN</t>
        </is>
      </c>
      <c r="F835" t="inlineStr">
        <is>
          <t>Bergvik skog väst AB</t>
        </is>
      </c>
      <c r="G835" t="n">
        <v>6.2</v>
      </c>
      <c r="H835" t="n">
        <v>0</v>
      </c>
      <c r="I835" t="n">
        <v>0</v>
      </c>
      <c r="J835" t="n">
        <v>1</v>
      </c>
      <c r="K835" t="n">
        <v>0</v>
      </c>
      <c r="L835" t="n">
        <v>0</v>
      </c>
      <c r="M835" t="n">
        <v>0</v>
      </c>
      <c r="N835" t="n">
        <v>0</v>
      </c>
      <c r="O835" t="n">
        <v>1</v>
      </c>
      <c r="P835" t="n">
        <v>0</v>
      </c>
      <c r="Q835" t="n">
        <v>1</v>
      </c>
      <c r="R835" s="2" t="inlineStr">
        <is>
          <t>Skogsklocka</t>
        </is>
      </c>
      <c r="S835">
        <f>HYPERLINK("https://klasma.github.io/Logging_2061/artfynd/A 15124-2023 artfynd.xlsx", "A 15124-2023")</f>
        <v/>
      </c>
      <c r="T835">
        <f>HYPERLINK("https://klasma.github.io/Logging_2061/kartor/A 15124-2023 karta.png", "A 15124-2023")</f>
        <v/>
      </c>
      <c r="V835">
        <f>HYPERLINK("https://klasma.github.io/Logging_2061/klagomål/A 15124-2023 FSC-klagomål.docx", "A 15124-2023")</f>
        <v/>
      </c>
      <c r="W835">
        <f>HYPERLINK("https://klasma.github.io/Logging_2061/klagomålsmail/A 15124-2023 FSC-klagomål mail.docx", "A 15124-2023")</f>
        <v/>
      </c>
      <c r="X835">
        <f>HYPERLINK("https://klasma.github.io/Logging_2061/tillsyn/A 15124-2023 tillsynsbegäran.docx", "A 15124-2023")</f>
        <v/>
      </c>
      <c r="Y835">
        <f>HYPERLINK("https://klasma.github.io/Logging_2061/tillsynsmail/A 15124-2023 tillsynsbegäran mail.docx", "A 15124-2023")</f>
        <v/>
      </c>
    </row>
    <row r="836" ht="15" customHeight="1">
      <c r="A836" t="inlineStr">
        <is>
          <t>A 15196-2023</t>
        </is>
      </c>
      <c r="B836" s="1" t="n">
        <v>45016</v>
      </c>
      <c r="C836" s="1" t="n">
        <v>45706</v>
      </c>
      <c r="D836" t="inlineStr">
        <is>
          <t>DALARNAS LÄN</t>
        </is>
      </c>
      <c r="E836" t="inlineStr">
        <is>
          <t>BORLÄNGE</t>
        </is>
      </c>
      <c r="G836" t="n">
        <v>3</v>
      </c>
      <c r="H836" t="n">
        <v>1</v>
      </c>
      <c r="I836" t="n">
        <v>0</v>
      </c>
      <c r="J836" t="n">
        <v>0</v>
      </c>
      <c r="K836" t="n">
        <v>0</v>
      </c>
      <c r="L836" t="n">
        <v>0</v>
      </c>
      <c r="M836" t="n">
        <v>0</v>
      </c>
      <c r="N836" t="n">
        <v>0</v>
      </c>
      <c r="O836" t="n">
        <v>0</v>
      </c>
      <c r="P836" t="n">
        <v>0</v>
      </c>
      <c r="Q836" t="n">
        <v>1</v>
      </c>
      <c r="R836" s="2" t="inlineStr">
        <is>
          <t>Revlummer</t>
        </is>
      </c>
      <c r="S836">
        <f>HYPERLINK("https://klasma.github.io/Logging_2081/artfynd/A 15196-2023 artfynd.xlsx", "A 15196-2023")</f>
        <v/>
      </c>
      <c r="T836">
        <f>HYPERLINK("https://klasma.github.io/Logging_2081/kartor/A 15196-2023 karta.png", "A 15196-2023")</f>
        <v/>
      </c>
      <c r="V836">
        <f>HYPERLINK("https://klasma.github.io/Logging_2081/klagomål/A 15196-2023 FSC-klagomål.docx", "A 15196-2023")</f>
        <v/>
      </c>
      <c r="W836">
        <f>HYPERLINK("https://klasma.github.io/Logging_2081/klagomålsmail/A 15196-2023 FSC-klagomål mail.docx", "A 15196-2023")</f>
        <v/>
      </c>
      <c r="X836">
        <f>HYPERLINK("https://klasma.github.io/Logging_2081/tillsyn/A 15196-2023 tillsynsbegäran.docx", "A 15196-2023")</f>
        <v/>
      </c>
      <c r="Y836">
        <f>HYPERLINK("https://klasma.github.io/Logging_2081/tillsynsmail/A 15196-2023 tillsynsbegäran mail.docx", "A 15196-2023")</f>
        <v/>
      </c>
    </row>
    <row r="837" ht="15" customHeight="1">
      <c r="A837" t="inlineStr">
        <is>
          <t>A 15432-2023</t>
        </is>
      </c>
      <c r="B837" s="1" t="n">
        <v>45020</v>
      </c>
      <c r="C837" s="1" t="n">
        <v>45706</v>
      </c>
      <c r="D837" t="inlineStr">
        <is>
          <t>DALARNAS LÄN</t>
        </is>
      </c>
      <c r="E837" t="inlineStr">
        <is>
          <t>LEKSAND</t>
        </is>
      </c>
      <c r="G837" t="n">
        <v>2.5</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15432-2023 artfynd.xlsx", "A 15432-2023")</f>
        <v/>
      </c>
      <c r="T837">
        <f>HYPERLINK("https://klasma.github.io/Logging_2029/kartor/A 15432-2023 karta.png", "A 15432-2023")</f>
        <v/>
      </c>
      <c r="V837">
        <f>HYPERLINK("https://klasma.github.io/Logging_2029/klagomål/A 15432-2023 FSC-klagomål.docx", "A 15432-2023")</f>
        <v/>
      </c>
      <c r="W837">
        <f>HYPERLINK("https://klasma.github.io/Logging_2029/klagomålsmail/A 15432-2023 FSC-klagomål mail.docx", "A 15432-2023")</f>
        <v/>
      </c>
      <c r="X837">
        <f>HYPERLINK("https://klasma.github.io/Logging_2029/tillsyn/A 15432-2023 tillsynsbegäran.docx", "A 15432-2023")</f>
        <v/>
      </c>
      <c r="Y837">
        <f>HYPERLINK("https://klasma.github.io/Logging_2029/tillsynsmail/A 15432-2023 tillsynsbegäran mail.docx", "A 15432-2023")</f>
        <v/>
      </c>
    </row>
    <row r="838" ht="15" customHeight="1">
      <c r="A838" t="inlineStr">
        <is>
          <t>A 15908-2023</t>
        </is>
      </c>
      <c r="B838" s="1" t="n">
        <v>45022</v>
      </c>
      <c r="C838" s="1" t="n">
        <v>45706</v>
      </c>
      <c r="D838" t="inlineStr">
        <is>
          <t>DALARNAS LÄN</t>
        </is>
      </c>
      <c r="E838" t="inlineStr">
        <is>
          <t>LEKSAND</t>
        </is>
      </c>
      <c r="G838" t="n">
        <v>2.4</v>
      </c>
      <c r="H838" t="n">
        <v>1</v>
      </c>
      <c r="I838" t="n">
        <v>0</v>
      </c>
      <c r="J838" t="n">
        <v>0</v>
      </c>
      <c r="K838" t="n">
        <v>0</v>
      </c>
      <c r="L838" t="n">
        <v>0</v>
      </c>
      <c r="M838" t="n">
        <v>0</v>
      </c>
      <c r="N838" t="n">
        <v>0</v>
      </c>
      <c r="O838" t="n">
        <v>0</v>
      </c>
      <c r="P838" t="n">
        <v>0</v>
      </c>
      <c r="Q838" t="n">
        <v>1</v>
      </c>
      <c r="R838" s="2" t="inlineStr">
        <is>
          <t>Blåsippa</t>
        </is>
      </c>
      <c r="S838">
        <f>HYPERLINK("https://klasma.github.io/Logging_2029/artfynd/A 15908-2023 artfynd.xlsx", "A 15908-2023")</f>
        <v/>
      </c>
      <c r="T838">
        <f>HYPERLINK("https://klasma.github.io/Logging_2029/kartor/A 15908-2023 karta.png", "A 15908-2023")</f>
        <v/>
      </c>
      <c r="V838">
        <f>HYPERLINK("https://klasma.github.io/Logging_2029/klagomål/A 15908-2023 FSC-klagomål.docx", "A 15908-2023")</f>
        <v/>
      </c>
      <c r="W838">
        <f>HYPERLINK("https://klasma.github.io/Logging_2029/klagomålsmail/A 15908-2023 FSC-klagomål mail.docx", "A 15908-2023")</f>
        <v/>
      </c>
      <c r="X838">
        <f>HYPERLINK("https://klasma.github.io/Logging_2029/tillsyn/A 15908-2023 tillsynsbegäran.docx", "A 15908-2023")</f>
        <v/>
      </c>
      <c r="Y838">
        <f>HYPERLINK("https://klasma.github.io/Logging_2029/tillsynsmail/A 15908-2023 tillsynsbegäran mail.docx", "A 15908-2023")</f>
        <v/>
      </c>
    </row>
    <row r="839" ht="15" customHeight="1">
      <c r="A839" t="inlineStr">
        <is>
          <t>A 16333-2023</t>
        </is>
      </c>
      <c r="B839" s="1" t="n">
        <v>45028</v>
      </c>
      <c r="C839" s="1" t="n">
        <v>45706</v>
      </c>
      <c r="D839" t="inlineStr">
        <is>
          <t>DALARNAS LÄN</t>
        </is>
      </c>
      <c r="E839" t="inlineStr">
        <is>
          <t>LEKSAND</t>
        </is>
      </c>
      <c r="G839" t="n">
        <v>1.5</v>
      </c>
      <c r="H839" t="n">
        <v>0</v>
      </c>
      <c r="I839" t="n">
        <v>1</v>
      </c>
      <c r="J839" t="n">
        <v>0</v>
      </c>
      <c r="K839" t="n">
        <v>0</v>
      </c>
      <c r="L839" t="n">
        <v>0</v>
      </c>
      <c r="M839" t="n">
        <v>0</v>
      </c>
      <c r="N839" t="n">
        <v>0</v>
      </c>
      <c r="O839" t="n">
        <v>0</v>
      </c>
      <c r="P839" t="n">
        <v>0</v>
      </c>
      <c r="Q839" t="n">
        <v>1</v>
      </c>
      <c r="R839" s="2" t="inlineStr">
        <is>
          <t>Läderskål</t>
        </is>
      </c>
      <c r="S839">
        <f>HYPERLINK("https://klasma.github.io/Logging_2029/artfynd/A 16333-2023 artfynd.xlsx", "A 16333-2023")</f>
        <v/>
      </c>
      <c r="T839">
        <f>HYPERLINK("https://klasma.github.io/Logging_2029/kartor/A 16333-2023 karta.png", "A 16333-2023")</f>
        <v/>
      </c>
      <c r="V839">
        <f>HYPERLINK("https://klasma.github.io/Logging_2029/klagomål/A 16333-2023 FSC-klagomål.docx", "A 16333-2023")</f>
        <v/>
      </c>
      <c r="W839">
        <f>HYPERLINK("https://klasma.github.io/Logging_2029/klagomålsmail/A 16333-2023 FSC-klagomål mail.docx", "A 16333-2023")</f>
        <v/>
      </c>
      <c r="X839">
        <f>HYPERLINK("https://klasma.github.io/Logging_2029/tillsyn/A 16333-2023 tillsynsbegäran.docx", "A 16333-2023")</f>
        <v/>
      </c>
      <c r="Y839">
        <f>HYPERLINK("https://klasma.github.io/Logging_2029/tillsynsmail/A 16333-2023 tillsynsbegäran mail.docx", "A 16333-2023")</f>
        <v/>
      </c>
    </row>
    <row r="840" ht="15" customHeight="1">
      <c r="A840" t="inlineStr">
        <is>
          <t>A 17199-2023</t>
        </is>
      </c>
      <c r="B840" s="1" t="n">
        <v>45034</v>
      </c>
      <c r="C840" s="1" t="n">
        <v>45706</v>
      </c>
      <c r="D840" t="inlineStr">
        <is>
          <t>DALARNAS LÄN</t>
        </is>
      </c>
      <c r="E840" t="inlineStr">
        <is>
          <t>FALUN</t>
        </is>
      </c>
      <c r="G840" t="n">
        <v>16.6</v>
      </c>
      <c r="H840" t="n">
        <v>0</v>
      </c>
      <c r="I840" t="n">
        <v>0</v>
      </c>
      <c r="J840" t="n">
        <v>1</v>
      </c>
      <c r="K840" t="n">
        <v>0</v>
      </c>
      <c r="L840" t="n">
        <v>0</v>
      </c>
      <c r="M840" t="n">
        <v>0</v>
      </c>
      <c r="N840" t="n">
        <v>0</v>
      </c>
      <c r="O840" t="n">
        <v>1</v>
      </c>
      <c r="P840" t="n">
        <v>0</v>
      </c>
      <c r="Q840" t="n">
        <v>1</v>
      </c>
      <c r="R840" s="2" t="inlineStr">
        <is>
          <t>Garnlav</t>
        </is>
      </c>
      <c r="S840">
        <f>HYPERLINK("https://klasma.github.io/Logging_2080/artfynd/A 17199-2023 artfynd.xlsx", "A 17199-2023")</f>
        <v/>
      </c>
      <c r="T840">
        <f>HYPERLINK("https://klasma.github.io/Logging_2080/kartor/A 17199-2023 karta.png", "A 17199-2023")</f>
        <v/>
      </c>
      <c r="V840">
        <f>HYPERLINK("https://klasma.github.io/Logging_2080/klagomål/A 17199-2023 FSC-klagomål.docx", "A 17199-2023")</f>
        <v/>
      </c>
      <c r="W840">
        <f>HYPERLINK("https://klasma.github.io/Logging_2080/klagomålsmail/A 17199-2023 FSC-klagomål mail.docx", "A 17199-2023")</f>
        <v/>
      </c>
      <c r="X840">
        <f>HYPERLINK("https://klasma.github.io/Logging_2080/tillsyn/A 17199-2023 tillsynsbegäran.docx", "A 17199-2023")</f>
        <v/>
      </c>
      <c r="Y840">
        <f>HYPERLINK("https://klasma.github.io/Logging_2080/tillsynsmail/A 17199-2023 tillsynsbegäran mail.docx", "A 17199-2023")</f>
        <v/>
      </c>
    </row>
    <row r="841" ht="15" customHeight="1">
      <c r="A841" t="inlineStr">
        <is>
          <t>A 17310-2023</t>
        </is>
      </c>
      <c r="B841" s="1" t="n">
        <v>45035</v>
      </c>
      <c r="C841" s="1" t="n">
        <v>45706</v>
      </c>
      <c r="D841" t="inlineStr">
        <is>
          <t>DALARNAS LÄN</t>
        </is>
      </c>
      <c r="E841" t="inlineStr">
        <is>
          <t>LUDVIKA</t>
        </is>
      </c>
      <c r="G841" t="n">
        <v>10.2</v>
      </c>
      <c r="H841" t="n">
        <v>0</v>
      </c>
      <c r="I841" t="n">
        <v>0</v>
      </c>
      <c r="J841" t="n">
        <v>1</v>
      </c>
      <c r="K841" t="n">
        <v>0</v>
      </c>
      <c r="L841" t="n">
        <v>0</v>
      </c>
      <c r="M841" t="n">
        <v>0</v>
      </c>
      <c r="N841" t="n">
        <v>0</v>
      </c>
      <c r="O841" t="n">
        <v>1</v>
      </c>
      <c r="P841" t="n">
        <v>0</v>
      </c>
      <c r="Q841" t="n">
        <v>1</v>
      </c>
      <c r="R841" s="2" t="inlineStr">
        <is>
          <t>Barrpraktbagge</t>
        </is>
      </c>
      <c r="S841">
        <f>HYPERLINK("https://klasma.github.io/Logging_2085/artfynd/A 17310-2023 artfynd.xlsx", "A 17310-2023")</f>
        <v/>
      </c>
      <c r="T841">
        <f>HYPERLINK("https://klasma.github.io/Logging_2085/kartor/A 17310-2023 karta.png", "A 17310-2023")</f>
        <v/>
      </c>
      <c r="V841">
        <f>HYPERLINK("https://klasma.github.io/Logging_2085/klagomål/A 17310-2023 FSC-klagomål.docx", "A 17310-2023")</f>
        <v/>
      </c>
      <c r="W841">
        <f>HYPERLINK("https://klasma.github.io/Logging_2085/klagomålsmail/A 17310-2023 FSC-klagomål mail.docx", "A 17310-2023")</f>
        <v/>
      </c>
      <c r="X841">
        <f>HYPERLINK("https://klasma.github.io/Logging_2085/tillsyn/A 17310-2023 tillsynsbegäran.docx", "A 17310-2023")</f>
        <v/>
      </c>
      <c r="Y841">
        <f>HYPERLINK("https://klasma.github.io/Logging_2085/tillsynsmail/A 17310-2023 tillsynsbegäran mail.docx", "A 17310-2023")</f>
        <v/>
      </c>
    </row>
    <row r="842" ht="15" customHeight="1">
      <c r="A842" t="inlineStr">
        <is>
          <t>A 17576-2023</t>
        </is>
      </c>
      <c r="B842" s="1" t="n">
        <v>45036</v>
      </c>
      <c r="C842" s="1" t="n">
        <v>45706</v>
      </c>
      <c r="D842" t="inlineStr">
        <is>
          <t>DALARNAS LÄN</t>
        </is>
      </c>
      <c r="E842" t="inlineStr">
        <is>
          <t>BORLÄNGE</t>
        </is>
      </c>
      <c r="G842" t="n">
        <v>12.6</v>
      </c>
      <c r="H842" t="n">
        <v>1</v>
      </c>
      <c r="I842" t="n">
        <v>0</v>
      </c>
      <c r="J842" t="n">
        <v>1</v>
      </c>
      <c r="K842" t="n">
        <v>0</v>
      </c>
      <c r="L842" t="n">
        <v>0</v>
      </c>
      <c r="M842" t="n">
        <v>0</v>
      </c>
      <c r="N842" t="n">
        <v>0</v>
      </c>
      <c r="O842" t="n">
        <v>1</v>
      </c>
      <c r="P842" t="n">
        <v>0</v>
      </c>
      <c r="Q842" t="n">
        <v>1</v>
      </c>
      <c r="R842" s="2" t="inlineStr">
        <is>
          <t>Spillkråka</t>
        </is>
      </c>
      <c r="S842">
        <f>HYPERLINK("https://klasma.github.io/Logging_2081/artfynd/A 17576-2023 artfynd.xlsx", "A 17576-2023")</f>
        <v/>
      </c>
      <c r="T842">
        <f>HYPERLINK("https://klasma.github.io/Logging_2081/kartor/A 17576-2023 karta.png", "A 17576-2023")</f>
        <v/>
      </c>
      <c r="V842">
        <f>HYPERLINK("https://klasma.github.io/Logging_2081/klagomål/A 17576-2023 FSC-klagomål.docx", "A 17576-2023")</f>
        <v/>
      </c>
      <c r="W842">
        <f>HYPERLINK("https://klasma.github.io/Logging_2081/klagomålsmail/A 17576-2023 FSC-klagomål mail.docx", "A 17576-2023")</f>
        <v/>
      </c>
      <c r="X842">
        <f>HYPERLINK("https://klasma.github.io/Logging_2081/tillsyn/A 17576-2023 tillsynsbegäran.docx", "A 17576-2023")</f>
        <v/>
      </c>
      <c r="Y842">
        <f>HYPERLINK("https://klasma.github.io/Logging_2081/tillsynsmail/A 17576-2023 tillsynsbegäran mail.docx", "A 17576-2023")</f>
        <v/>
      </c>
      <c r="Z842">
        <f>HYPERLINK("https://klasma.github.io/Logging_2081/fåglar/A 17576-2023 prioriterade fågelarter.docx", "A 17576-2023")</f>
        <v/>
      </c>
    </row>
    <row r="843" ht="15" customHeight="1">
      <c r="A843" t="inlineStr">
        <is>
          <t>A 17571-2023</t>
        </is>
      </c>
      <c r="B843" s="1" t="n">
        <v>45036</v>
      </c>
      <c r="C843" s="1" t="n">
        <v>45706</v>
      </c>
      <c r="D843" t="inlineStr">
        <is>
          <t>DALARNAS LÄN</t>
        </is>
      </c>
      <c r="E843" t="inlineStr">
        <is>
          <t>BORLÄNGE</t>
        </is>
      </c>
      <c r="G843" t="n">
        <v>1.4</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17571-2023 artfynd.xlsx", "A 17571-2023")</f>
        <v/>
      </c>
      <c r="T843">
        <f>HYPERLINK("https://klasma.github.io/Logging_2081/kartor/A 17571-2023 karta.png", "A 17571-2023")</f>
        <v/>
      </c>
      <c r="V843">
        <f>HYPERLINK("https://klasma.github.io/Logging_2081/klagomål/A 17571-2023 FSC-klagomål.docx", "A 17571-2023")</f>
        <v/>
      </c>
      <c r="W843">
        <f>HYPERLINK("https://klasma.github.io/Logging_2081/klagomålsmail/A 17571-2023 FSC-klagomål mail.docx", "A 17571-2023")</f>
        <v/>
      </c>
      <c r="X843">
        <f>HYPERLINK("https://klasma.github.io/Logging_2081/tillsyn/A 17571-2023 tillsynsbegäran.docx", "A 17571-2023")</f>
        <v/>
      </c>
      <c r="Y843">
        <f>HYPERLINK("https://klasma.github.io/Logging_2081/tillsynsmail/A 17571-2023 tillsynsbegäran mail.docx", "A 17571-2023")</f>
        <v/>
      </c>
      <c r="Z843">
        <f>HYPERLINK("https://klasma.github.io/Logging_2081/fåglar/A 17571-2023 prioriterade fågelarter.docx", "A 17571-2023")</f>
        <v/>
      </c>
    </row>
    <row r="844" ht="15" customHeight="1">
      <c r="A844" t="inlineStr">
        <is>
          <t>A 17743-2023</t>
        </is>
      </c>
      <c r="B844" s="1" t="n">
        <v>45037</v>
      </c>
      <c r="C844" s="1" t="n">
        <v>45706</v>
      </c>
      <c r="D844" t="inlineStr">
        <is>
          <t>DALARNAS LÄN</t>
        </is>
      </c>
      <c r="E844" t="inlineStr">
        <is>
          <t>FALUN</t>
        </is>
      </c>
      <c r="G844" t="n">
        <v>1.6</v>
      </c>
      <c r="H844" t="n">
        <v>0</v>
      </c>
      <c r="I844" t="n">
        <v>0</v>
      </c>
      <c r="J844" t="n">
        <v>1</v>
      </c>
      <c r="K844" t="n">
        <v>0</v>
      </c>
      <c r="L844" t="n">
        <v>0</v>
      </c>
      <c r="M844" t="n">
        <v>0</v>
      </c>
      <c r="N844" t="n">
        <v>0</v>
      </c>
      <c r="O844" t="n">
        <v>1</v>
      </c>
      <c r="P844" t="n">
        <v>0</v>
      </c>
      <c r="Q844" t="n">
        <v>1</v>
      </c>
      <c r="R844" s="2" t="inlineStr">
        <is>
          <t>Garnlav</t>
        </is>
      </c>
      <c r="S844">
        <f>HYPERLINK("https://klasma.github.io/Logging_2080/artfynd/A 17743-2023 artfynd.xlsx", "A 17743-2023")</f>
        <v/>
      </c>
      <c r="T844">
        <f>HYPERLINK("https://klasma.github.io/Logging_2080/kartor/A 17743-2023 karta.png", "A 17743-2023")</f>
        <v/>
      </c>
      <c r="V844">
        <f>HYPERLINK("https://klasma.github.io/Logging_2080/klagomål/A 17743-2023 FSC-klagomål.docx", "A 17743-2023")</f>
        <v/>
      </c>
      <c r="W844">
        <f>HYPERLINK("https://klasma.github.io/Logging_2080/klagomålsmail/A 17743-2023 FSC-klagomål mail.docx", "A 17743-2023")</f>
        <v/>
      </c>
      <c r="X844">
        <f>HYPERLINK("https://klasma.github.io/Logging_2080/tillsyn/A 17743-2023 tillsynsbegäran.docx", "A 17743-2023")</f>
        <v/>
      </c>
      <c r="Y844">
        <f>HYPERLINK("https://klasma.github.io/Logging_2080/tillsynsmail/A 17743-2023 tillsynsbegäran mail.docx", "A 17743-2023")</f>
        <v/>
      </c>
    </row>
    <row r="845" ht="15" customHeight="1">
      <c r="A845" t="inlineStr">
        <is>
          <t>A 17899-2023</t>
        </is>
      </c>
      <c r="B845" s="1" t="n">
        <v>45039</v>
      </c>
      <c r="C845" s="1" t="n">
        <v>45706</v>
      </c>
      <c r="D845" t="inlineStr">
        <is>
          <t>DALARNAS LÄN</t>
        </is>
      </c>
      <c r="E845" t="inlineStr">
        <is>
          <t>LEKSAND</t>
        </is>
      </c>
      <c r="G845" t="n">
        <v>1.9</v>
      </c>
      <c r="H845" t="n">
        <v>0</v>
      </c>
      <c r="I845" t="n">
        <v>0</v>
      </c>
      <c r="J845" t="n">
        <v>1</v>
      </c>
      <c r="K845" t="n">
        <v>0</v>
      </c>
      <c r="L845" t="n">
        <v>0</v>
      </c>
      <c r="M845" t="n">
        <v>0</v>
      </c>
      <c r="N845" t="n">
        <v>0</v>
      </c>
      <c r="O845" t="n">
        <v>1</v>
      </c>
      <c r="P845" t="n">
        <v>0</v>
      </c>
      <c r="Q845" t="n">
        <v>1</v>
      </c>
      <c r="R845" s="2" t="inlineStr">
        <is>
          <t>Grantaggsvamp</t>
        </is>
      </c>
      <c r="S845">
        <f>HYPERLINK("https://klasma.github.io/Logging_2029/artfynd/A 17899-2023 artfynd.xlsx", "A 17899-2023")</f>
        <v/>
      </c>
      <c r="T845">
        <f>HYPERLINK("https://klasma.github.io/Logging_2029/kartor/A 17899-2023 karta.png", "A 17899-2023")</f>
        <v/>
      </c>
      <c r="V845">
        <f>HYPERLINK("https://klasma.github.io/Logging_2029/klagomål/A 17899-2023 FSC-klagomål.docx", "A 17899-2023")</f>
        <v/>
      </c>
      <c r="W845">
        <f>HYPERLINK("https://klasma.github.io/Logging_2029/klagomålsmail/A 17899-2023 FSC-klagomål mail.docx", "A 17899-2023")</f>
        <v/>
      </c>
      <c r="X845">
        <f>HYPERLINK("https://klasma.github.io/Logging_2029/tillsyn/A 17899-2023 tillsynsbegäran.docx", "A 17899-2023")</f>
        <v/>
      </c>
      <c r="Y845">
        <f>HYPERLINK("https://klasma.github.io/Logging_2029/tillsynsmail/A 17899-2023 tillsynsbegäran mail.docx", "A 17899-2023")</f>
        <v/>
      </c>
    </row>
    <row r="846" ht="15" customHeight="1">
      <c r="A846" t="inlineStr">
        <is>
          <t>A 17913-2023</t>
        </is>
      </c>
      <c r="B846" s="1" t="n">
        <v>45040</v>
      </c>
      <c r="C846" s="1" t="n">
        <v>45706</v>
      </c>
      <c r="D846" t="inlineStr">
        <is>
          <t>DALARNAS LÄN</t>
        </is>
      </c>
      <c r="E846" t="inlineStr">
        <is>
          <t>BORLÄNGE</t>
        </is>
      </c>
      <c r="G846" t="n">
        <v>8.800000000000001</v>
      </c>
      <c r="H846" t="n">
        <v>1</v>
      </c>
      <c r="I846" t="n">
        <v>0</v>
      </c>
      <c r="J846" t="n">
        <v>0</v>
      </c>
      <c r="K846" t="n">
        <v>0</v>
      </c>
      <c r="L846" t="n">
        <v>0</v>
      </c>
      <c r="M846" t="n">
        <v>0</v>
      </c>
      <c r="N846" t="n">
        <v>0</v>
      </c>
      <c r="O846" t="n">
        <v>0</v>
      </c>
      <c r="P846" t="n">
        <v>0</v>
      </c>
      <c r="Q846" t="n">
        <v>1</v>
      </c>
      <c r="R846" s="2" t="inlineStr">
        <is>
          <t>Fläcknycklar</t>
        </is>
      </c>
      <c r="S846">
        <f>HYPERLINK("https://klasma.github.io/Logging_2081/artfynd/A 17913-2023 artfynd.xlsx", "A 17913-2023")</f>
        <v/>
      </c>
      <c r="T846">
        <f>HYPERLINK("https://klasma.github.io/Logging_2081/kartor/A 17913-2023 karta.png", "A 17913-2023")</f>
        <v/>
      </c>
      <c r="V846">
        <f>HYPERLINK("https://klasma.github.io/Logging_2081/klagomål/A 17913-2023 FSC-klagomål.docx", "A 17913-2023")</f>
        <v/>
      </c>
      <c r="W846">
        <f>HYPERLINK("https://klasma.github.io/Logging_2081/klagomålsmail/A 17913-2023 FSC-klagomål mail.docx", "A 17913-2023")</f>
        <v/>
      </c>
      <c r="X846">
        <f>HYPERLINK("https://klasma.github.io/Logging_2081/tillsyn/A 17913-2023 tillsynsbegäran.docx", "A 17913-2023")</f>
        <v/>
      </c>
      <c r="Y846">
        <f>HYPERLINK("https://klasma.github.io/Logging_2081/tillsynsmail/A 17913-2023 tillsynsbegäran mail.docx", "A 17913-2023")</f>
        <v/>
      </c>
    </row>
    <row r="847" ht="15" customHeight="1">
      <c r="A847" t="inlineStr">
        <is>
          <t>A 18298-2023</t>
        </is>
      </c>
      <c r="B847" s="1" t="n">
        <v>45041</v>
      </c>
      <c r="C847" s="1" t="n">
        <v>45706</v>
      </c>
      <c r="D847" t="inlineStr">
        <is>
          <t>DALARNAS LÄN</t>
        </is>
      </c>
      <c r="E847" t="inlineStr">
        <is>
          <t>LUDVIKA</t>
        </is>
      </c>
      <c r="G847" t="n">
        <v>3.4</v>
      </c>
      <c r="H847" t="n">
        <v>1</v>
      </c>
      <c r="I847" t="n">
        <v>0</v>
      </c>
      <c r="J847" t="n">
        <v>0</v>
      </c>
      <c r="K847" t="n">
        <v>0</v>
      </c>
      <c r="L847" t="n">
        <v>0</v>
      </c>
      <c r="M847" t="n">
        <v>0</v>
      </c>
      <c r="N847" t="n">
        <v>0</v>
      </c>
      <c r="O847" t="n">
        <v>0</v>
      </c>
      <c r="P847" t="n">
        <v>0</v>
      </c>
      <c r="Q847" t="n">
        <v>1</v>
      </c>
      <c r="R847" s="2" t="inlineStr">
        <is>
          <t>Fläcknycklar</t>
        </is>
      </c>
      <c r="S847">
        <f>HYPERLINK("https://klasma.github.io/Logging_2085/artfynd/A 18298-2023 artfynd.xlsx", "A 18298-2023")</f>
        <v/>
      </c>
      <c r="T847">
        <f>HYPERLINK("https://klasma.github.io/Logging_2085/kartor/A 18298-2023 karta.png", "A 18298-2023")</f>
        <v/>
      </c>
      <c r="V847">
        <f>HYPERLINK("https://klasma.github.io/Logging_2085/klagomål/A 18298-2023 FSC-klagomål.docx", "A 18298-2023")</f>
        <v/>
      </c>
      <c r="W847">
        <f>HYPERLINK("https://klasma.github.io/Logging_2085/klagomålsmail/A 18298-2023 FSC-klagomål mail.docx", "A 18298-2023")</f>
        <v/>
      </c>
      <c r="X847">
        <f>HYPERLINK("https://klasma.github.io/Logging_2085/tillsyn/A 18298-2023 tillsynsbegäran.docx", "A 18298-2023")</f>
        <v/>
      </c>
      <c r="Y847">
        <f>HYPERLINK("https://klasma.github.io/Logging_2085/tillsynsmail/A 18298-2023 tillsynsbegäran mail.docx", "A 18298-2023")</f>
        <v/>
      </c>
    </row>
    <row r="848" ht="15" customHeight="1">
      <c r="A848" t="inlineStr">
        <is>
          <t>A 20231-2023</t>
        </is>
      </c>
      <c r="B848" s="1" t="n">
        <v>45055</v>
      </c>
      <c r="C848" s="1" t="n">
        <v>45706</v>
      </c>
      <c r="D848" t="inlineStr">
        <is>
          <t>DALARNAS LÄN</t>
        </is>
      </c>
      <c r="E848" t="inlineStr">
        <is>
          <t>HEDEMORA</t>
        </is>
      </c>
      <c r="F848" t="inlineStr">
        <is>
          <t>Bergvik skog väst AB</t>
        </is>
      </c>
      <c r="G848" t="n">
        <v>3.9</v>
      </c>
      <c r="H848" t="n">
        <v>1</v>
      </c>
      <c r="I848" t="n">
        <v>0</v>
      </c>
      <c r="J848" t="n">
        <v>1</v>
      </c>
      <c r="K848" t="n">
        <v>0</v>
      </c>
      <c r="L848" t="n">
        <v>0</v>
      </c>
      <c r="M848" t="n">
        <v>0</v>
      </c>
      <c r="N848" t="n">
        <v>0</v>
      </c>
      <c r="O848" t="n">
        <v>1</v>
      </c>
      <c r="P848" t="n">
        <v>0</v>
      </c>
      <c r="Q848" t="n">
        <v>1</v>
      </c>
      <c r="R848" s="2" t="inlineStr">
        <is>
          <t>Tretåig hackspett</t>
        </is>
      </c>
      <c r="S848">
        <f>HYPERLINK("https://klasma.github.io/Logging_2083/artfynd/A 20231-2023 artfynd.xlsx", "A 20231-2023")</f>
        <v/>
      </c>
      <c r="T848">
        <f>HYPERLINK("https://klasma.github.io/Logging_2083/kartor/A 20231-2023 karta.png", "A 20231-2023")</f>
        <v/>
      </c>
      <c r="V848">
        <f>HYPERLINK("https://klasma.github.io/Logging_2083/klagomål/A 20231-2023 FSC-klagomål.docx", "A 20231-2023")</f>
        <v/>
      </c>
      <c r="W848">
        <f>HYPERLINK("https://klasma.github.io/Logging_2083/klagomålsmail/A 20231-2023 FSC-klagomål mail.docx", "A 20231-2023")</f>
        <v/>
      </c>
      <c r="X848">
        <f>HYPERLINK("https://klasma.github.io/Logging_2083/tillsyn/A 20231-2023 tillsynsbegäran.docx", "A 20231-2023")</f>
        <v/>
      </c>
      <c r="Y848">
        <f>HYPERLINK("https://klasma.github.io/Logging_2083/tillsynsmail/A 20231-2023 tillsynsbegäran mail.docx", "A 20231-2023")</f>
        <v/>
      </c>
      <c r="Z848">
        <f>HYPERLINK("https://klasma.github.io/Logging_2083/fåglar/A 20231-2023 prioriterade fågelarter.docx", "A 20231-2023")</f>
        <v/>
      </c>
    </row>
    <row r="849" ht="15" customHeight="1">
      <c r="A849" t="inlineStr">
        <is>
          <t>A 21147-2023</t>
        </is>
      </c>
      <c r="B849" s="1" t="n">
        <v>45057</v>
      </c>
      <c r="C849" s="1" t="n">
        <v>45706</v>
      </c>
      <c r="D849" t="inlineStr">
        <is>
          <t>DALARNAS LÄN</t>
        </is>
      </c>
      <c r="E849" t="inlineStr">
        <is>
          <t>HEDEMORA</t>
        </is>
      </c>
      <c r="G849" t="n">
        <v>10</v>
      </c>
      <c r="H849" t="n">
        <v>1</v>
      </c>
      <c r="I849" t="n">
        <v>0</v>
      </c>
      <c r="J849" t="n">
        <v>0</v>
      </c>
      <c r="K849" t="n">
        <v>0</v>
      </c>
      <c r="L849" t="n">
        <v>0</v>
      </c>
      <c r="M849" t="n">
        <v>0</v>
      </c>
      <c r="N849" t="n">
        <v>0</v>
      </c>
      <c r="O849" t="n">
        <v>0</v>
      </c>
      <c r="P849" t="n">
        <v>0</v>
      </c>
      <c r="Q849" t="n">
        <v>1</v>
      </c>
      <c r="R849" s="2" t="inlineStr">
        <is>
          <t>Blåsippa</t>
        </is>
      </c>
      <c r="S849">
        <f>HYPERLINK("https://klasma.github.io/Logging_2083/artfynd/A 21147-2023 artfynd.xlsx", "A 21147-2023")</f>
        <v/>
      </c>
      <c r="T849">
        <f>HYPERLINK("https://klasma.github.io/Logging_2083/kartor/A 21147-2023 karta.png", "A 21147-2023")</f>
        <v/>
      </c>
      <c r="V849">
        <f>HYPERLINK("https://klasma.github.io/Logging_2083/klagomål/A 21147-2023 FSC-klagomål.docx", "A 21147-2023")</f>
        <v/>
      </c>
      <c r="W849">
        <f>HYPERLINK("https://klasma.github.io/Logging_2083/klagomålsmail/A 21147-2023 FSC-klagomål mail.docx", "A 21147-2023")</f>
        <v/>
      </c>
      <c r="X849">
        <f>HYPERLINK("https://klasma.github.io/Logging_2083/tillsyn/A 21147-2023 tillsynsbegäran.docx", "A 21147-2023")</f>
        <v/>
      </c>
      <c r="Y849">
        <f>HYPERLINK("https://klasma.github.io/Logging_2083/tillsynsmail/A 21147-2023 tillsynsbegäran mail.docx", "A 21147-2023")</f>
        <v/>
      </c>
    </row>
    <row r="850" ht="15" customHeight="1">
      <c r="A850" t="inlineStr">
        <is>
          <t>A 20925-2023</t>
        </is>
      </c>
      <c r="B850" s="1" t="n">
        <v>45061</v>
      </c>
      <c r="C850" s="1" t="n">
        <v>45706</v>
      </c>
      <c r="D850" t="inlineStr">
        <is>
          <t>DALARNAS LÄN</t>
        </is>
      </c>
      <c r="E850" t="inlineStr">
        <is>
          <t>BORLÄNGE</t>
        </is>
      </c>
      <c r="G850" t="n">
        <v>4.5</v>
      </c>
      <c r="H850" t="n">
        <v>1</v>
      </c>
      <c r="I850" t="n">
        <v>0</v>
      </c>
      <c r="J850" t="n">
        <v>0</v>
      </c>
      <c r="K850" t="n">
        <v>1</v>
      </c>
      <c r="L850" t="n">
        <v>0</v>
      </c>
      <c r="M850" t="n">
        <v>0</v>
      </c>
      <c r="N850" t="n">
        <v>0</v>
      </c>
      <c r="O850" t="n">
        <v>1</v>
      </c>
      <c r="P850" t="n">
        <v>1</v>
      </c>
      <c r="Q850" t="n">
        <v>1</v>
      </c>
      <c r="R850" s="2" t="inlineStr">
        <is>
          <t>Knärot</t>
        </is>
      </c>
      <c r="S850">
        <f>HYPERLINK("https://klasma.github.io/Logging_2081/artfynd/A 20925-2023 artfynd.xlsx", "A 20925-2023")</f>
        <v/>
      </c>
      <c r="T850">
        <f>HYPERLINK("https://klasma.github.io/Logging_2081/kartor/A 20925-2023 karta.png", "A 20925-2023")</f>
        <v/>
      </c>
      <c r="U850">
        <f>HYPERLINK("https://klasma.github.io/Logging_2081/knärot/A 20925-2023 karta knärot.png", "A 20925-2023")</f>
        <v/>
      </c>
      <c r="V850">
        <f>HYPERLINK("https://klasma.github.io/Logging_2081/klagomål/A 20925-2023 FSC-klagomål.docx", "A 20925-2023")</f>
        <v/>
      </c>
      <c r="W850">
        <f>HYPERLINK("https://klasma.github.io/Logging_2081/klagomålsmail/A 20925-2023 FSC-klagomål mail.docx", "A 20925-2023")</f>
        <v/>
      </c>
      <c r="X850">
        <f>HYPERLINK("https://klasma.github.io/Logging_2081/tillsyn/A 20925-2023 tillsynsbegäran.docx", "A 20925-2023")</f>
        <v/>
      </c>
      <c r="Y850">
        <f>HYPERLINK("https://klasma.github.io/Logging_2081/tillsynsmail/A 20925-2023 tillsynsbegäran mail.docx", "A 20925-2023")</f>
        <v/>
      </c>
    </row>
    <row r="851" ht="15" customHeight="1">
      <c r="A851" t="inlineStr">
        <is>
          <t>A 20939-2023</t>
        </is>
      </c>
      <c r="B851" s="1" t="n">
        <v>45061</v>
      </c>
      <c r="C851" s="1" t="n">
        <v>45706</v>
      </c>
      <c r="D851" t="inlineStr">
        <is>
          <t>DALARNAS LÄN</t>
        </is>
      </c>
      <c r="E851" t="inlineStr">
        <is>
          <t>GAGNEF</t>
        </is>
      </c>
      <c r="G851" t="n">
        <v>6.8</v>
      </c>
      <c r="H851" t="n">
        <v>0</v>
      </c>
      <c r="I851" t="n">
        <v>1</v>
      </c>
      <c r="J851" t="n">
        <v>0</v>
      </c>
      <c r="K851" t="n">
        <v>0</v>
      </c>
      <c r="L851" t="n">
        <v>0</v>
      </c>
      <c r="M851" t="n">
        <v>0</v>
      </c>
      <c r="N851" t="n">
        <v>0</v>
      </c>
      <c r="O851" t="n">
        <v>0</v>
      </c>
      <c r="P851" t="n">
        <v>0</v>
      </c>
      <c r="Q851" t="n">
        <v>1</v>
      </c>
      <c r="R851" s="2" t="inlineStr">
        <is>
          <t>Gräsull</t>
        </is>
      </c>
      <c r="S851">
        <f>HYPERLINK("https://klasma.github.io/Logging_2026/artfynd/A 20939-2023 artfynd.xlsx", "A 20939-2023")</f>
        <v/>
      </c>
      <c r="T851">
        <f>HYPERLINK("https://klasma.github.io/Logging_2026/kartor/A 20939-2023 karta.png", "A 20939-2023")</f>
        <v/>
      </c>
      <c r="V851">
        <f>HYPERLINK("https://klasma.github.io/Logging_2026/klagomål/A 20939-2023 FSC-klagomål.docx", "A 20939-2023")</f>
        <v/>
      </c>
      <c r="W851">
        <f>HYPERLINK("https://klasma.github.io/Logging_2026/klagomålsmail/A 20939-2023 FSC-klagomål mail.docx", "A 20939-2023")</f>
        <v/>
      </c>
      <c r="X851">
        <f>HYPERLINK("https://klasma.github.io/Logging_2026/tillsyn/A 20939-2023 tillsynsbegäran.docx", "A 20939-2023")</f>
        <v/>
      </c>
      <c r="Y851">
        <f>HYPERLINK("https://klasma.github.io/Logging_2026/tillsynsmail/A 20939-2023 tillsynsbegäran mail.docx", "A 20939-2023")</f>
        <v/>
      </c>
    </row>
    <row r="852" ht="15" customHeight="1">
      <c r="A852" t="inlineStr">
        <is>
          <t>A 21419-2023</t>
        </is>
      </c>
      <c r="B852" s="1" t="n">
        <v>45061</v>
      </c>
      <c r="C852" s="1" t="n">
        <v>45706</v>
      </c>
      <c r="D852" t="inlineStr">
        <is>
          <t>DALARNAS LÄN</t>
        </is>
      </c>
      <c r="E852" t="inlineStr">
        <is>
          <t>LEKSAND</t>
        </is>
      </c>
      <c r="G852" t="n">
        <v>5.5</v>
      </c>
      <c r="H852" t="n">
        <v>1</v>
      </c>
      <c r="I852" t="n">
        <v>0</v>
      </c>
      <c r="J852" t="n">
        <v>0</v>
      </c>
      <c r="K852" t="n">
        <v>0</v>
      </c>
      <c r="L852" t="n">
        <v>0</v>
      </c>
      <c r="M852" t="n">
        <v>0</v>
      </c>
      <c r="N852" t="n">
        <v>0</v>
      </c>
      <c r="O852" t="n">
        <v>0</v>
      </c>
      <c r="P852" t="n">
        <v>0</v>
      </c>
      <c r="Q852" t="n">
        <v>1</v>
      </c>
      <c r="R852" s="2" t="inlineStr">
        <is>
          <t>Nattviol</t>
        </is>
      </c>
      <c r="S852">
        <f>HYPERLINK("https://klasma.github.io/Logging_2029/artfynd/A 21419-2023 artfynd.xlsx", "A 21419-2023")</f>
        <v/>
      </c>
      <c r="T852">
        <f>HYPERLINK("https://klasma.github.io/Logging_2029/kartor/A 21419-2023 karta.png", "A 21419-2023")</f>
        <v/>
      </c>
      <c r="V852">
        <f>HYPERLINK("https://klasma.github.io/Logging_2029/klagomål/A 21419-2023 FSC-klagomål.docx", "A 21419-2023")</f>
        <v/>
      </c>
      <c r="W852">
        <f>HYPERLINK("https://klasma.github.io/Logging_2029/klagomålsmail/A 21419-2023 FSC-klagomål mail.docx", "A 21419-2023")</f>
        <v/>
      </c>
      <c r="X852">
        <f>HYPERLINK("https://klasma.github.io/Logging_2029/tillsyn/A 21419-2023 tillsynsbegäran.docx", "A 21419-2023")</f>
        <v/>
      </c>
      <c r="Y852">
        <f>HYPERLINK("https://klasma.github.io/Logging_2029/tillsynsmail/A 21419-2023 tillsynsbegäran mail.docx", "A 21419-2023")</f>
        <v/>
      </c>
    </row>
    <row r="853" ht="15" customHeight="1">
      <c r="A853" t="inlineStr">
        <is>
          <t>A 21131-2023</t>
        </is>
      </c>
      <c r="B853" s="1" t="n">
        <v>45062</v>
      </c>
      <c r="C853" s="1" t="n">
        <v>45706</v>
      </c>
      <c r="D853" t="inlineStr">
        <is>
          <t>DALARNAS LÄN</t>
        </is>
      </c>
      <c r="E853" t="inlineStr">
        <is>
          <t>BORLÄNGE</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HYPERLINK("https://klasma.github.io/Logging_2081/artfynd/A 21131-2023 artfynd.xlsx", "A 21131-2023")</f>
        <v/>
      </c>
      <c r="T853">
        <f>HYPERLINK("https://klasma.github.io/Logging_2081/kartor/A 21131-2023 karta.png", "A 21131-2023")</f>
        <v/>
      </c>
      <c r="V853">
        <f>HYPERLINK("https://klasma.github.io/Logging_2081/klagomål/A 21131-2023 FSC-klagomål.docx", "A 21131-2023")</f>
        <v/>
      </c>
      <c r="W853">
        <f>HYPERLINK("https://klasma.github.io/Logging_2081/klagomålsmail/A 21131-2023 FSC-klagomål mail.docx", "A 21131-2023")</f>
        <v/>
      </c>
      <c r="X853">
        <f>HYPERLINK("https://klasma.github.io/Logging_2081/tillsyn/A 21131-2023 tillsynsbegäran.docx", "A 21131-2023")</f>
        <v/>
      </c>
      <c r="Y853">
        <f>HYPERLINK("https://klasma.github.io/Logging_2081/tillsynsmail/A 21131-2023 tillsynsbegäran mail.docx", "A 21131-2023")</f>
        <v/>
      </c>
    </row>
    <row r="854" ht="15" customHeight="1">
      <c r="A854" t="inlineStr">
        <is>
          <t>A 21949-2023</t>
        </is>
      </c>
      <c r="B854" s="1" t="n">
        <v>45068</v>
      </c>
      <c r="C854" s="1" t="n">
        <v>45706</v>
      </c>
      <c r="D854" t="inlineStr">
        <is>
          <t>DALARNAS LÄN</t>
        </is>
      </c>
      <c r="E854" t="inlineStr">
        <is>
          <t>GAGNEF</t>
        </is>
      </c>
      <c r="G854" t="n">
        <v>19.3</v>
      </c>
      <c r="H854" t="n">
        <v>1</v>
      </c>
      <c r="I854" t="n">
        <v>1</v>
      </c>
      <c r="J854" t="n">
        <v>0</v>
      </c>
      <c r="K854" t="n">
        <v>0</v>
      </c>
      <c r="L854" t="n">
        <v>0</v>
      </c>
      <c r="M854" t="n">
        <v>0</v>
      </c>
      <c r="N854" t="n">
        <v>0</v>
      </c>
      <c r="O854" t="n">
        <v>0</v>
      </c>
      <c r="P854" t="n">
        <v>0</v>
      </c>
      <c r="Q854" t="n">
        <v>1</v>
      </c>
      <c r="R854" s="2" t="inlineStr">
        <is>
          <t>Korallrot</t>
        </is>
      </c>
      <c r="S854">
        <f>HYPERLINK("https://klasma.github.io/Logging_2026/artfynd/A 21949-2023 artfynd.xlsx", "A 21949-2023")</f>
        <v/>
      </c>
      <c r="T854">
        <f>HYPERLINK("https://klasma.github.io/Logging_2026/kartor/A 21949-2023 karta.png", "A 21949-2023")</f>
        <v/>
      </c>
      <c r="V854">
        <f>HYPERLINK("https://klasma.github.io/Logging_2026/klagomål/A 21949-2023 FSC-klagomål.docx", "A 21949-2023")</f>
        <v/>
      </c>
      <c r="W854">
        <f>HYPERLINK("https://klasma.github.io/Logging_2026/klagomålsmail/A 21949-2023 FSC-klagomål mail.docx", "A 21949-2023")</f>
        <v/>
      </c>
      <c r="X854">
        <f>HYPERLINK("https://klasma.github.io/Logging_2026/tillsyn/A 21949-2023 tillsynsbegäran.docx", "A 21949-2023")</f>
        <v/>
      </c>
      <c r="Y854">
        <f>HYPERLINK("https://klasma.github.io/Logging_2026/tillsynsmail/A 21949-2023 tillsynsbegäran mail.docx", "A 21949-2023")</f>
        <v/>
      </c>
    </row>
    <row r="855" ht="15" customHeight="1">
      <c r="A855" t="inlineStr">
        <is>
          <t>A 22069-2023</t>
        </is>
      </c>
      <c r="B855" s="1" t="n">
        <v>45069</v>
      </c>
      <c r="C855" s="1" t="n">
        <v>45706</v>
      </c>
      <c r="D855" t="inlineStr">
        <is>
          <t>DALARNAS LÄN</t>
        </is>
      </c>
      <c r="E855" t="inlineStr">
        <is>
          <t>FALUN</t>
        </is>
      </c>
      <c r="G855" t="n">
        <v>3</v>
      </c>
      <c r="H855" t="n">
        <v>1</v>
      </c>
      <c r="I855" t="n">
        <v>0</v>
      </c>
      <c r="J855" t="n">
        <v>1</v>
      </c>
      <c r="K855" t="n">
        <v>0</v>
      </c>
      <c r="L855" t="n">
        <v>0</v>
      </c>
      <c r="M855" t="n">
        <v>0</v>
      </c>
      <c r="N855" t="n">
        <v>0</v>
      </c>
      <c r="O855" t="n">
        <v>1</v>
      </c>
      <c r="P855" t="n">
        <v>0</v>
      </c>
      <c r="Q855" t="n">
        <v>1</v>
      </c>
      <c r="R855" s="2" t="inlineStr">
        <is>
          <t>Brun gräsfjäril</t>
        </is>
      </c>
      <c r="S855">
        <f>HYPERLINK("https://klasma.github.io/Logging_2080/artfynd/A 22069-2023 artfynd.xlsx", "A 22069-2023")</f>
        <v/>
      </c>
      <c r="T855">
        <f>HYPERLINK("https://klasma.github.io/Logging_2080/kartor/A 22069-2023 karta.png", "A 22069-2023")</f>
        <v/>
      </c>
      <c r="V855">
        <f>HYPERLINK("https://klasma.github.io/Logging_2080/klagomål/A 22069-2023 FSC-klagomål.docx", "A 22069-2023")</f>
        <v/>
      </c>
      <c r="W855">
        <f>HYPERLINK("https://klasma.github.io/Logging_2080/klagomålsmail/A 22069-2023 FSC-klagomål mail.docx", "A 22069-2023")</f>
        <v/>
      </c>
      <c r="X855">
        <f>HYPERLINK("https://klasma.github.io/Logging_2080/tillsyn/A 22069-2023 tillsynsbegäran.docx", "A 22069-2023")</f>
        <v/>
      </c>
      <c r="Y855">
        <f>HYPERLINK("https://klasma.github.io/Logging_2080/tillsynsmail/A 22069-2023 tillsynsbegäran mail.docx", "A 22069-2023")</f>
        <v/>
      </c>
    </row>
    <row r="856" ht="15" customHeight="1">
      <c r="A856" t="inlineStr">
        <is>
          <t>A 22900-2023</t>
        </is>
      </c>
      <c r="B856" s="1" t="n">
        <v>45072</v>
      </c>
      <c r="C856" s="1" t="n">
        <v>45706</v>
      </c>
      <c r="D856" t="inlineStr">
        <is>
          <t>DALARNAS LÄN</t>
        </is>
      </c>
      <c r="E856" t="inlineStr">
        <is>
          <t>BORLÄNGE</t>
        </is>
      </c>
      <c r="F856" t="inlineStr">
        <is>
          <t>Bergvik skog väst AB</t>
        </is>
      </c>
      <c r="G856" t="n">
        <v>4.8</v>
      </c>
      <c r="H856" t="n">
        <v>1</v>
      </c>
      <c r="I856" t="n">
        <v>0</v>
      </c>
      <c r="J856" t="n">
        <v>1</v>
      </c>
      <c r="K856" t="n">
        <v>0</v>
      </c>
      <c r="L856" t="n">
        <v>0</v>
      </c>
      <c r="M856" t="n">
        <v>0</v>
      </c>
      <c r="N856" t="n">
        <v>0</v>
      </c>
      <c r="O856" t="n">
        <v>1</v>
      </c>
      <c r="P856" t="n">
        <v>0</v>
      </c>
      <c r="Q856" t="n">
        <v>1</v>
      </c>
      <c r="R856" s="2" t="inlineStr">
        <is>
          <t>Brun gräsfjäril</t>
        </is>
      </c>
      <c r="S856">
        <f>HYPERLINK("https://klasma.github.io/Logging_2081/artfynd/A 22900-2023 artfynd.xlsx", "A 22900-2023")</f>
        <v/>
      </c>
      <c r="T856">
        <f>HYPERLINK("https://klasma.github.io/Logging_2081/kartor/A 22900-2023 karta.png", "A 22900-2023")</f>
        <v/>
      </c>
      <c r="V856">
        <f>HYPERLINK("https://klasma.github.io/Logging_2081/klagomål/A 22900-2023 FSC-klagomål.docx", "A 22900-2023")</f>
        <v/>
      </c>
      <c r="W856">
        <f>HYPERLINK("https://klasma.github.io/Logging_2081/klagomålsmail/A 22900-2023 FSC-klagomål mail.docx", "A 22900-2023")</f>
        <v/>
      </c>
      <c r="X856">
        <f>HYPERLINK("https://klasma.github.io/Logging_2081/tillsyn/A 22900-2023 tillsynsbegäran.docx", "A 22900-2023")</f>
        <v/>
      </c>
      <c r="Y856">
        <f>HYPERLINK("https://klasma.github.io/Logging_2081/tillsynsmail/A 22900-2023 tillsynsbegäran mail.docx", "A 22900-2023")</f>
        <v/>
      </c>
    </row>
    <row r="857" ht="15" customHeight="1">
      <c r="A857" t="inlineStr">
        <is>
          <t>A 23736-2023</t>
        </is>
      </c>
      <c r="B857" s="1" t="n">
        <v>45077</v>
      </c>
      <c r="C857" s="1" t="n">
        <v>45706</v>
      </c>
      <c r="D857" t="inlineStr">
        <is>
          <t>DALARNAS LÄN</t>
        </is>
      </c>
      <c r="E857" t="inlineStr">
        <is>
          <t>MORA</t>
        </is>
      </c>
      <c r="G857" t="n">
        <v>7.2</v>
      </c>
      <c r="H857" t="n">
        <v>0</v>
      </c>
      <c r="I857" t="n">
        <v>0</v>
      </c>
      <c r="J857" t="n">
        <v>1</v>
      </c>
      <c r="K857" t="n">
        <v>0</v>
      </c>
      <c r="L857" t="n">
        <v>0</v>
      </c>
      <c r="M857" t="n">
        <v>0</v>
      </c>
      <c r="N857" t="n">
        <v>0</v>
      </c>
      <c r="O857" t="n">
        <v>1</v>
      </c>
      <c r="P857" t="n">
        <v>0</v>
      </c>
      <c r="Q857" t="n">
        <v>1</v>
      </c>
      <c r="R857" s="2" t="inlineStr">
        <is>
          <t>Reliktbock</t>
        </is>
      </c>
      <c r="S857">
        <f>HYPERLINK("https://klasma.github.io/Logging_2062/artfynd/A 23736-2023 artfynd.xlsx", "A 23736-2023")</f>
        <v/>
      </c>
      <c r="T857">
        <f>HYPERLINK("https://klasma.github.io/Logging_2062/kartor/A 23736-2023 karta.png", "A 23736-2023")</f>
        <v/>
      </c>
      <c r="V857">
        <f>HYPERLINK("https://klasma.github.io/Logging_2062/klagomål/A 23736-2023 FSC-klagomål.docx", "A 23736-2023")</f>
        <v/>
      </c>
      <c r="W857">
        <f>HYPERLINK("https://klasma.github.io/Logging_2062/klagomålsmail/A 23736-2023 FSC-klagomål mail.docx", "A 23736-2023")</f>
        <v/>
      </c>
      <c r="X857">
        <f>HYPERLINK("https://klasma.github.io/Logging_2062/tillsyn/A 23736-2023 tillsynsbegäran.docx", "A 23736-2023")</f>
        <v/>
      </c>
      <c r="Y857">
        <f>HYPERLINK("https://klasma.github.io/Logging_2062/tillsynsmail/A 23736-2023 tillsynsbegäran mail.docx", "A 23736-2023")</f>
        <v/>
      </c>
    </row>
    <row r="858" ht="15" customHeight="1">
      <c r="A858" t="inlineStr">
        <is>
          <t>A 23707-2023</t>
        </is>
      </c>
      <c r="B858" s="1" t="n">
        <v>45077</v>
      </c>
      <c r="C858" s="1" t="n">
        <v>45706</v>
      </c>
      <c r="D858" t="inlineStr">
        <is>
          <t>DALARNAS LÄN</t>
        </is>
      </c>
      <c r="E858" t="inlineStr">
        <is>
          <t>RÄTTVIK</t>
        </is>
      </c>
      <c r="G858" t="n">
        <v>3.4</v>
      </c>
      <c r="H858" t="n">
        <v>0</v>
      </c>
      <c r="I858" t="n">
        <v>1</v>
      </c>
      <c r="J858" t="n">
        <v>0</v>
      </c>
      <c r="K858" t="n">
        <v>0</v>
      </c>
      <c r="L858" t="n">
        <v>0</v>
      </c>
      <c r="M858" t="n">
        <v>0</v>
      </c>
      <c r="N858" t="n">
        <v>0</v>
      </c>
      <c r="O858" t="n">
        <v>0</v>
      </c>
      <c r="P858" t="n">
        <v>0</v>
      </c>
      <c r="Q858" t="n">
        <v>1</v>
      </c>
      <c r="R858" s="2" t="inlineStr">
        <is>
          <t>Vedticka</t>
        </is>
      </c>
      <c r="S858">
        <f>HYPERLINK("https://klasma.github.io/Logging_2031/artfynd/A 23707-2023 artfynd.xlsx", "A 23707-2023")</f>
        <v/>
      </c>
      <c r="T858">
        <f>HYPERLINK("https://klasma.github.io/Logging_2031/kartor/A 23707-2023 karta.png", "A 23707-2023")</f>
        <v/>
      </c>
      <c r="V858">
        <f>HYPERLINK("https://klasma.github.io/Logging_2031/klagomål/A 23707-2023 FSC-klagomål.docx", "A 23707-2023")</f>
        <v/>
      </c>
      <c r="W858">
        <f>HYPERLINK("https://klasma.github.io/Logging_2031/klagomålsmail/A 23707-2023 FSC-klagomål mail.docx", "A 23707-2023")</f>
        <v/>
      </c>
      <c r="X858">
        <f>HYPERLINK("https://klasma.github.io/Logging_2031/tillsyn/A 23707-2023 tillsynsbegäran.docx", "A 23707-2023")</f>
        <v/>
      </c>
      <c r="Y858">
        <f>HYPERLINK("https://klasma.github.io/Logging_2031/tillsynsmail/A 23707-2023 tillsynsbegäran mail.docx", "A 23707-2023")</f>
        <v/>
      </c>
    </row>
    <row r="859" ht="15" customHeight="1">
      <c r="A859" t="inlineStr">
        <is>
          <t>A 23815-2023</t>
        </is>
      </c>
      <c r="B859" s="1" t="n">
        <v>45078</v>
      </c>
      <c r="C859" s="1" t="n">
        <v>45706</v>
      </c>
      <c r="D859" t="inlineStr">
        <is>
          <t>DALARNAS LÄN</t>
        </is>
      </c>
      <c r="E859" t="inlineStr">
        <is>
          <t>HEDEMORA</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HYPERLINK("https://klasma.github.io/Logging_2083/artfynd/A 23815-2023 artfynd.xlsx", "A 23815-2023")</f>
        <v/>
      </c>
      <c r="T859">
        <f>HYPERLINK("https://klasma.github.io/Logging_2083/kartor/A 23815-2023 karta.png", "A 23815-2023")</f>
        <v/>
      </c>
      <c r="U859">
        <f>HYPERLINK("https://klasma.github.io/Logging_2083/knärot/A 23815-2023 karta knärot.png", "A 23815-2023")</f>
        <v/>
      </c>
      <c r="V859">
        <f>HYPERLINK("https://klasma.github.io/Logging_2083/klagomål/A 23815-2023 FSC-klagomål.docx", "A 23815-2023")</f>
        <v/>
      </c>
      <c r="W859">
        <f>HYPERLINK("https://klasma.github.io/Logging_2083/klagomålsmail/A 23815-2023 FSC-klagomål mail.docx", "A 23815-2023")</f>
        <v/>
      </c>
      <c r="X859">
        <f>HYPERLINK("https://klasma.github.io/Logging_2083/tillsyn/A 23815-2023 tillsynsbegäran.docx", "A 23815-2023")</f>
        <v/>
      </c>
      <c r="Y859">
        <f>HYPERLINK("https://klasma.github.io/Logging_2083/tillsynsmail/A 23815-2023 tillsynsbegäran mail.docx", "A 23815-2023")</f>
        <v/>
      </c>
    </row>
    <row r="860" ht="15" customHeight="1">
      <c r="A860" t="inlineStr">
        <is>
          <t>A 23872-2023</t>
        </is>
      </c>
      <c r="B860" s="1" t="n">
        <v>45078</v>
      </c>
      <c r="C860" s="1" t="n">
        <v>45706</v>
      </c>
      <c r="D860" t="inlineStr">
        <is>
          <t>DALARNAS LÄN</t>
        </is>
      </c>
      <c r="E860" t="inlineStr">
        <is>
          <t>ÄLVDALEN</t>
        </is>
      </c>
      <c r="F860" t="inlineStr">
        <is>
          <t>Allmännings- och besparingsskogar</t>
        </is>
      </c>
      <c r="G860" t="n">
        <v>79.5</v>
      </c>
      <c r="H860" t="n">
        <v>1</v>
      </c>
      <c r="I860" t="n">
        <v>0</v>
      </c>
      <c r="J860" t="n">
        <v>0</v>
      </c>
      <c r="K860" t="n">
        <v>0</v>
      </c>
      <c r="L860" t="n">
        <v>0</v>
      </c>
      <c r="M860" t="n">
        <v>0</v>
      </c>
      <c r="N860" t="n">
        <v>0</v>
      </c>
      <c r="O860" t="n">
        <v>0</v>
      </c>
      <c r="P860" t="n">
        <v>0</v>
      </c>
      <c r="Q860" t="n">
        <v>1</v>
      </c>
      <c r="R860" s="2" t="inlineStr">
        <is>
          <t>Vanlig groda</t>
        </is>
      </c>
      <c r="S860">
        <f>HYPERLINK("https://klasma.github.io/Logging_2039/artfynd/A 23872-2023 artfynd.xlsx", "A 23872-2023")</f>
        <v/>
      </c>
      <c r="T860">
        <f>HYPERLINK("https://klasma.github.io/Logging_2039/kartor/A 23872-2023 karta.png", "A 23872-2023")</f>
        <v/>
      </c>
      <c r="V860">
        <f>HYPERLINK("https://klasma.github.io/Logging_2039/klagomål/A 23872-2023 FSC-klagomål.docx", "A 23872-2023")</f>
        <v/>
      </c>
      <c r="W860">
        <f>HYPERLINK("https://klasma.github.io/Logging_2039/klagomålsmail/A 23872-2023 FSC-klagomål mail.docx", "A 23872-2023")</f>
        <v/>
      </c>
      <c r="X860">
        <f>HYPERLINK("https://klasma.github.io/Logging_2039/tillsyn/A 23872-2023 tillsynsbegäran.docx", "A 23872-2023")</f>
        <v/>
      </c>
      <c r="Y860">
        <f>HYPERLINK("https://klasma.github.io/Logging_2039/tillsynsmail/A 23872-2023 tillsynsbegäran mail.docx", "A 23872-2023")</f>
        <v/>
      </c>
    </row>
    <row r="861" ht="15" customHeight="1">
      <c r="A861" t="inlineStr">
        <is>
          <t>A 24681-2023</t>
        </is>
      </c>
      <c r="B861" s="1" t="n">
        <v>45084</v>
      </c>
      <c r="C861" s="1" t="n">
        <v>45706</v>
      </c>
      <c r="D861" t="inlineStr">
        <is>
          <t>DALARNAS LÄN</t>
        </is>
      </c>
      <c r="E861" t="inlineStr">
        <is>
          <t>MORA</t>
        </is>
      </c>
      <c r="G861" t="n">
        <v>8.199999999999999</v>
      </c>
      <c r="H861" t="n">
        <v>0</v>
      </c>
      <c r="I861" t="n">
        <v>0</v>
      </c>
      <c r="J861" t="n">
        <v>1</v>
      </c>
      <c r="K861" t="n">
        <v>0</v>
      </c>
      <c r="L861" t="n">
        <v>0</v>
      </c>
      <c r="M861" t="n">
        <v>0</v>
      </c>
      <c r="N861" t="n">
        <v>0</v>
      </c>
      <c r="O861" t="n">
        <v>1</v>
      </c>
      <c r="P861" t="n">
        <v>0</v>
      </c>
      <c r="Q861" t="n">
        <v>1</v>
      </c>
      <c r="R861" s="2" t="inlineStr">
        <is>
          <t>Dvärgbägarlav</t>
        </is>
      </c>
      <c r="S861">
        <f>HYPERLINK("https://klasma.github.io/Logging_2062/artfynd/A 24681-2023 artfynd.xlsx", "A 24681-2023")</f>
        <v/>
      </c>
      <c r="T861">
        <f>HYPERLINK("https://klasma.github.io/Logging_2062/kartor/A 24681-2023 karta.png", "A 24681-2023")</f>
        <v/>
      </c>
      <c r="V861">
        <f>HYPERLINK("https://klasma.github.io/Logging_2062/klagomål/A 24681-2023 FSC-klagomål.docx", "A 24681-2023")</f>
        <v/>
      </c>
      <c r="W861">
        <f>HYPERLINK("https://klasma.github.io/Logging_2062/klagomålsmail/A 24681-2023 FSC-klagomål mail.docx", "A 24681-2023")</f>
        <v/>
      </c>
      <c r="X861">
        <f>HYPERLINK("https://klasma.github.io/Logging_2062/tillsyn/A 24681-2023 tillsynsbegäran.docx", "A 24681-2023")</f>
        <v/>
      </c>
      <c r="Y861">
        <f>HYPERLINK("https://klasma.github.io/Logging_2062/tillsynsmail/A 24681-2023 tillsynsbegäran mail.docx", "A 24681-2023")</f>
        <v/>
      </c>
    </row>
    <row r="862" ht="15" customHeight="1">
      <c r="A862" t="inlineStr">
        <is>
          <t>A 25588-2023</t>
        </is>
      </c>
      <c r="B862" s="1" t="n">
        <v>45089</v>
      </c>
      <c r="C862" s="1" t="n">
        <v>45706</v>
      </c>
      <c r="D862" t="inlineStr">
        <is>
          <t>DALARNAS LÄN</t>
        </is>
      </c>
      <c r="E862" t="inlineStr">
        <is>
          <t>LUDVIKA</t>
        </is>
      </c>
      <c r="G862" t="n">
        <v>9.4</v>
      </c>
      <c r="H862" t="n">
        <v>0</v>
      </c>
      <c r="I862" t="n">
        <v>0</v>
      </c>
      <c r="J862" t="n">
        <v>1</v>
      </c>
      <c r="K862" t="n">
        <v>0</v>
      </c>
      <c r="L862" t="n">
        <v>0</v>
      </c>
      <c r="M862" t="n">
        <v>0</v>
      </c>
      <c r="N862" t="n">
        <v>0</v>
      </c>
      <c r="O862" t="n">
        <v>1</v>
      </c>
      <c r="P862" t="n">
        <v>0</v>
      </c>
      <c r="Q862" t="n">
        <v>1</v>
      </c>
      <c r="R862" s="2" t="inlineStr">
        <is>
          <t>Garnlav</t>
        </is>
      </c>
      <c r="S862">
        <f>HYPERLINK("https://klasma.github.io/Logging_2085/artfynd/A 25588-2023 artfynd.xlsx", "A 25588-2023")</f>
        <v/>
      </c>
      <c r="T862">
        <f>HYPERLINK("https://klasma.github.io/Logging_2085/kartor/A 25588-2023 karta.png", "A 25588-2023")</f>
        <v/>
      </c>
      <c r="V862">
        <f>HYPERLINK("https://klasma.github.io/Logging_2085/klagomål/A 25588-2023 FSC-klagomål.docx", "A 25588-2023")</f>
        <v/>
      </c>
      <c r="W862">
        <f>HYPERLINK("https://klasma.github.io/Logging_2085/klagomålsmail/A 25588-2023 FSC-klagomål mail.docx", "A 25588-2023")</f>
        <v/>
      </c>
      <c r="X862">
        <f>HYPERLINK("https://klasma.github.io/Logging_2085/tillsyn/A 25588-2023 tillsynsbegäran.docx", "A 25588-2023")</f>
        <v/>
      </c>
      <c r="Y862">
        <f>HYPERLINK("https://klasma.github.io/Logging_2085/tillsynsmail/A 25588-2023 tillsynsbegäran mail.docx", "A 25588-2023")</f>
        <v/>
      </c>
    </row>
    <row r="863" ht="15" customHeight="1">
      <c r="A863" t="inlineStr">
        <is>
          <t>A 25763-2023</t>
        </is>
      </c>
      <c r="B863" s="1" t="n">
        <v>45090</v>
      </c>
      <c r="C863" s="1" t="n">
        <v>45706</v>
      </c>
      <c r="D863" t="inlineStr">
        <is>
          <t>DALARNAS LÄN</t>
        </is>
      </c>
      <c r="E863" t="inlineStr">
        <is>
          <t>BORLÄNGE</t>
        </is>
      </c>
      <c r="G863" t="n">
        <v>2.9</v>
      </c>
      <c r="H863" t="n">
        <v>1</v>
      </c>
      <c r="I863" t="n">
        <v>0</v>
      </c>
      <c r="J863" t="n">
        <v>0</v>
      </c>
      <c r="K863" t="n">
        <v>0</v>
      </c>
      <c r="L863" t="n">
        <v>0</v>
      </c>
      <c r="M863" t="n">
        <v>0</v>
      </c>
      <c r="N863" t="n">
        <v>0</v>
      </c>
      <c r="O863" t="n">
        <v>0</v>
      </c>
      <c r="P863" t="n">
        <v>0</v>
      </c>
      <c r="Q863" t="n">
        <v>1</v>
      </c>
      <c r="R863" s="2" t="inlineStr">
        <is>
          <t>Fläcknycklar</t>
        </is>
      </c>
      <c r="S863">
        <f>HYPERLINK("https://klasma.github.io/Logging_2081/artfynd/A 25763-2023 artfynd.xlsx", "A 25763-2023")</f>
        <v/>
      </c>
      <c r="T863">
        <f>HYPERLINK("https://klasma.github.io/Logging_2081/kartor/A 25763-2023 karta.png", "A 25763-2023")</f>
        <v/>
      </c>
      <c r="V863">
        <f>HYPERLINK("https://klasma.github.io/Logging_2081/klagomål/A 25763-2023 FSC-klagomål.docx", "A 25763-2023")</f>
        <v/>
      </c>
      <c r="W863">
        <f>HYPERLINK("https://klasma.github.io/Logging_2081/klagomålsmail/A 25763-2023 FSC-klagomål mail.docx", "A 25763-2023")</f>
        <v/>
      </c>
      <c r="X863">
        <f>HYPERLINK("https://klasma.github.io/Logging_2081/tillsyn/A 25763-2023 tillsynsbegäran.docx", "A 25763-2023")</f>
        <v/>
      </c>
      <c r="Y863">
        <f>HYPERLINK("https://klasma.github.io/Logging_2081/tillsynsmail/A 25763-2023 tillsynsbegäran mail.docx", "A 25763-2023")</f>
        <v/>
      </c>
    </row>
    <row r="864" ht="15" customHeight="1">
      <c r="A864" t="inlineStr">
        <is>
          <t>A 26287-2023</t>
        </is>
      </c>
      <c r="B864" s="1" t="n">
        <v>45091</v>
      </c>
      <c r="C864" s="1" t="n">
        <v>45706</v>
      </c>
      <c r="D864" t="inlineStr">
        <is>
          <t>DALARNAS LÄN</t>
        </is>
      </c>
      <c r="E864" t="inlineStr">
        <is>
          <t>LEKSAND</t>
        </is>
      </c>
      <c r="G864" t="n">
        <v>2.4</v>
      </c>
      <c r="H864" t="n">
        <v>0</v>
      </c>
      <c r="I864" t="n">
        <v>1</v>
      </c>
      <c r="J864" t="n">
        <v>0</v>
      </c>
      <c r="K864" t="n">
        <v>0</v>
      </c>
      <c r="L864" t="n">
        <v>0</v>
      </c>
      <c r="M864" t="n">
        <v>0</v>
      </c>
      <c r="N864" t="n">
        <v>0</v>
      </c>
      <c r="O864" t="n">
        <v>0</v>
      </c>
      <c r="P864" t="n">
        <v>0</v>
      </c>
      <c r="Q864" t="n">
        <v>1</v>
      </c>
      <c r="R864" s="2" t="inlineStr">
        <is>
          <t>Mindre märgborre</t>
        </is>
      </c>
      <c r="S864">
        <f>HYPERLINK("https://klasma.github.io/Logging_2029/artfynd/A 26287-2023 artfynd.xlsx", "A 26287-2023")</f>
        <v/>
      </c>
      <c r="T864">
        <f>HYPERLINK("https://klasma.github.io/Logging_2029/kartor/A 26287-2023 karta.png", "A 26287-2023")</f>
        <v/>
      </c>
      <c r="V864">
        <f>HYPERLINK("https://klasma.github.io/Logging_2029/klagomål/A 26287-2023 FSC-klagomål.docx", "A 26287-2023")</f>
        <v/>
      </c>
      <c r="W864">
        <f>HYPERLINK("https://klasma.github.io/Logging_2029/klagomålsmail/A 26287-2023 FSC-klagomål mail.docx", "A 26287-2023")</f>
        <v/>
      </c>
      <c r="X864">
        <f>HYPERLINK("https://klasma.github.io/Logging_2029/tillsyn/A 26287-2023 tillsynsbegäran.docx", "A 26287-2023")</f>
        <v/>
      </c>
      <c r="Y864">
        <f>HYPERLINK("https://klasma.github.io/Logging_2029/tillsynsmail/A 26287-2023 tillsynsbegäran mail.docx", "A 26287-2023")</f>
        <v/>
      </c>
    </row>
    <row r="865" ht="15" customHeight="1">
      <c r="A865" t="inlineStr">
        <is>
          <t>A 26586-2023</t>
        </is>
      </c>
      <c r="B865" s="1" t="n">
        <v>45092</v>
      </c>
      <c r="C865" s="1" t="n">
        <v>45706</v>
      </c>
      <c r="D865" t="inlineStr">
        <is>
          <t>DALARNAS LÄN</t>
        </is>
      </c>
      <c r="E865" t="inlineStr">
        <is>
          <t>FALUN</t>
        </is>
      </c>
      <c r="G865" t="n">
        <v>6.1</v>
      </c>
      <c r="H865" t="n">
        <v>1</v>
      </c>
      <c r="I865" t="n">
        <v>0</v>
      </c>
      <c r="J865" t="n">
        <v>1</v>
      </c>
      <c r="K865" t="n">
        <v>0</v>
      </c>
      <c r="L865" t="n">
        <v>0</v>
      </c>
      <c r="M865" t="n">
        <v>0</v>
      </c>
      <c r="N865" t="n">
        <v>0</v>
      </c>
      <c r="O865" t="n">
        <v>1</v>
      </c>
      <c r="P865" t="n">
        <v>0</v>
      </c>
      <c r="Q865" t="n">
        <v>1</v>
      </c>
      <c r="R865" s="2" t="inlineStr">
        <is>
          <t>Spillkråka</t>
        </is>
      </c>
      <c r="S865">
        <f>HYPERLINK("https://klasma.github.io/Logging_2080/artfynd/A 26586-2023 artfynd.xlsx", "A 26586-2023")</f>
        <v/>
      </c>
      <c r="T865">
        <f>HYPERLINK("https://klasma.github.io/Logging_2080/kartor/A 26586-2023 karta.png", "A 26586-2023")</f>
        <v/>
      </c>
      <c r="V865">
        <f>HYPERLINK("https://klasma.github.io/Logging_2080/klagomål/A 26586-2023 FSC-klagomål.docx", "A 26586-2023")</f>
        <v/>
      </c>
      <c r="W865">
        <f>HYPERLINK("https://klasma.github.io/Logging_2080/klagomålsmail/A 26586-2023 FSC-klagomål mail.docx", "A 26586-2023")</f>
        <v/>
      </c>
      <c r="X865">
        <f>HYPERLINK("https://klasma.github.io/Logging_2080/tillsyn/A 26586-2023 tillsynsbegäran.docx", "A 26586-2023")</f>
        <v/>
      </c>
      <c r="Y865">
        <f>HYPERLINK("https://klasma.github.io/Logging_2080/tillsynsmail/A 26586-2023 tillsynsbegäran mail.docx", "A 26586-2023")</f>
        <v/>
      </c>
      <c r="Z865">
        <f>HYPERLINK("https://klasma.github.io/Logging_2080/fåglar/A 26586-2023 prioriterade fågelarter.docx", "A 26586-2023")</f>
        <v/>
      </c>
    </row>
    <row r="866" ht="15" customHeight="1">
      <c r="A866" t="inlineStr">
        <is>
          <t>A 26850-2023</t>
        </is>
      </c>
      <c r="B866" s="1" t="n">
        <v>45093</v>
      </c>
      <c r="C866" s="1" t="n">
        <v>45706</v>
      </c>
      <c r="D866" t="inlineStr">
        <is>
          <t>DALARNAS LÄN</t>
        </is>
      </c>
      <c r="E866" t="inlineStr">
        <is>
          <t>LUDVIKA</t>
        </is>
      </c>
      <c r="F866" t="inlineStr">
        <is>
          <t>Naturvårdsverket</t>
        </is>
      </c>
      <c r="G866" t="n">
        <v>2.7</v>
      </c>
      <c r="H866" t="n">
        <v>0</v>
      </c>
      <c r="I866" t="n">
        <v>0</v>
      </c>
      <c r="J866" t="n">
        <v>1</v>
      </c>
      <c r="K866" t="n">
        <v>0</v>
      </c>
      <c r="L866" t="n">
        <v>0</v>
      </c>
      <c r="M866" t="n">
        <v>0</v>
      </c>
      <c r="N866" t="n">
        <v>0</v>
      </c>
      <c r="O866" t="n">
        <v>1</v>
      </c>
      <c r="P866" t="n">
        <v>0</v>
      </c>
      <c r="Q866" t="n">
        <v>1</v>
      </c>
      <c r="R866" s="2" t="inlineStr">
        <is>
          <t>Motaggsvamp</t>
        </is>
      </c>
      <c r="S866">
        <f>HYPERLINK("https://klasma.github.io/Logging_2085/artfynd/A 26850-2023 artfynd.xlsx", "A 26850-2023")</f>
        <v/>
      </c>
      <c r="T866">
        <f>HYPERLINK("https://klasma.github.io/Logging_2085/kartor/A 26850-2023 karta.png", "A 26850-2023")</f>
        <v/>
      </c>
      <c r="V866">
        <f>HYPERLINK("https://klasma.github.io/Logging_2085/klagomål/A 26850-2023 FSC-klagomål.docx", "A 26850-2023")</f>
        <v/>
      </c>
      <c r="W866">
        <f>HYPERLINK("https://klasma.github.io/Logging_2085/klagomålsmail/A 26850-2023 FSC-klagomål mail.docx", "A 26850-2023")</f>
        <v/>
      </c>
      <c r="X866">
        <f>HYPERLINK("https://klasma.github.io/Logging_2085/tillsyn/A 26850-2023 tillsynsbegäran.docx", "A 26850-2023")</f>
        <v/>
      </c>
      <c r="Y866">
        <f>HYPERLINK("https://klasma.github.io/Logging_2085/tillsynsmail/A 26850-2023 tillsynsbegäran mail.docx", "A 26850-2023")</f>
        <v/>
      </c>
    </row>
    <row r="867" ht="15" customHeight="1">
      <c r="A867" t="inlineStr">
        <is>
          <t>A 27715-2023</t>
        </is>
      </c>
      <c r="B867" s="1" t="n">
        <v>45098</v>
      </c>
      <c r="C867" s="1" t="n">
        <v>45706</v>
      </c>
      <c r="D867" t="inlineStr">
        <is>
          <t>DALARNAS LÄN</t>
        </is>
      </c>
      <c r="E867" t="inlineStr">
        <is>
          <t>SÄTER</t>
        </is>
      </c>
      <c r="G867" t="n">
        <v>1.4</v>
      </c>
      <c r="H867" t="n">
        <v>1</v>
      </c>
      <c r="I867" t="n">
        <v>0</v>
      </c>
      <c r="J867" t="n">
        <v>0</v>
      </c>
      <c r="K867" t="n">
        <v>0</v>
      </c>
      <c r="L867" t="n">
        <v>0</v>
      </c>
      <c r="M867" t="n">
        <v>0</v>
      </c>
      <c r="N867" t="n">
        <v>0</v>
      </c>
      <c r="O867" t="n">
        <v>0</v>
      </c>
      <c r="P867" t="n">
        <v>0</v>
      </c>
      <c r="Q867" t="n">
        <v>1</v>
      </c>
      <c r="R867" s="2" t="inlineStr">
        <is>
          <t>Mattlummer</t>
        </is>
      </c>
      <c r="S867">
        <f>HYPERLINK("https://klasma.github.io/Logging_2082/artfynd/A 27715-2023 artfynd.xlsx", "A 27715-2023")</f>
        <v/>
      </c>
      <c r="T867">
        <f>HYPERLINK("https://klasma.github.io/Logging_2082/kartor/A 27715-2023 karta.png", "A 27715-2023")</f>
        <v/>
      </c>
      <c r="V867">
        <f>HYPERLINK("https://klasma.github.io/Logging_2082/klagomål/A 27715-2023 FSC-klagomål.docx", "A 27715-2023")</f>
        <v/>
      </c>
      <c r="W867">
        <f>HYPERLINK("https://klasma.github.io/Logging_2082/klagomålsmail/A 27715-2023 FSC-klagomål mail.docx", "A 27715-2023")</f>
        <v/>
      </c>
      <c r="X867">
        <f>HYPERLINK("https://klasma.github.io/Logging_2082/tillsyn/A 27715-2023 tillsynsbegäran.docx", "A 27715-2023")</f>
        <v/>
      </c>
      <c r="Y867">
        <f>HYPERLINK("https://klasma.github.io/Logging_2082/tillsynsmail/A 27715-2023 tillsynsbegäran mail.docx", "A 27715-2023")</f>
        <v/>
      </c>
    </row>
    <row r="868" ht="15" customHeight="1">
      <c r="A868" t="inlineStr">
        <is>
          <t>A 28028-2023</t>
        </is>
      </c>
      <c r="B868" s="1" t="n">
        <v>45099</v>
      </c>
      <c r="C868" s="1" t="n">
        <v>45706</v>
      </c>
      <c r="D868" t="inlineStr">
        <is>
          <t>DALARNAS LÄN</t>
        </is>
      </c>
      <c r="E868" t="inlineStr">
        <is>
          <t>HEDEMORA</t>
        </is>
      </c>
      <c r="G868" t="n">
        <v>0.8</v>
      </c>
      <c r="H868" t="n">
        <v>1</v>
      </c>
      <c r="I868" t="n">
        <v>0</v>
      </c>
      <c r="J868" t="n">
        <v>0</v>
      </c>
      <c r="K868" t="n">
        <v>0</v>
      </c>
      <c r="L868" t="n">
        <v>0</v>
      </c>
      <c r="M868" t="n">
        <v>0</v>
      </c>
      <c r="N868" t="n">
        <v>0</v>
      </c>
      <c r="O868" t="n">
        <v>0</v>
      </c>
      <c r="P868" t="n">
        <v>0</v>
      </c>
      <c r="Q868" t="n">
        <v>1</v>
      </c>
      <c r="R868" s="2" t="inlineStr">
        <is>
          <t>Blåsippa</t>
        </is>
      </c>
      <c r="S868">
        <f>HYPERLINK("https://klasma.github.io/Logging_2083/artfynd/A 28028-2023 artfynd.xlsx", "A 28028-2023")</f>
        <v/>
      </c>
      <c r="T868">
        <f>HYPERLINK("https://klasma.github.io/Logging_2083/kartor/A 28028-2023 karta.png", "A 28028-2023")</f>
        <v/>
      </c>
      <c r="V868">
        <f>HYPERLINK("https://klasma.github.io/Logging_2083/klagomål/A 28028-2023 FSC-klagomål.docx", "A 28028-2023")</f>
        <v/>
      </c>
      <c r="W868">
        <f>HYPERLINK("https://klasma.github.io/Logging_2083/klagomålsmail/A 28028-2023 FSC-klagomål mail.docx", "A 28028-2023")</f>
        <v/>
      </c>
      <c r="X868">
        <f>HYPERLINK("https://klasma.github.io/Logging_2083/tillsyn/A 28028-2023 tillsynsbegäran.docx", "A 28028-2023")</f>
        <v/>
      </c>
      <c r="Y868">
        <f>HYPERLINK("https://klasma.github.io/Logging_2083/tillsynsmail/A 28028-2023 tillsynsbegäran mail.docx", "A 28028-2023")</f>
        <v/>
      </c>
    </row>
    <row r="869" ht="15" customHeight="1">
      <c r="A869" t="inlineStr">
        <is>
          <t>A 29044-2023</t>
        </is>
      </c>
      <c r="B869" s="1" t="n">
        <v>45104</v>
      </c>
      <c r="C869" s="1" t="n">
        <v>45706</v>
      </c>
      <c r="D869" t="inlineStr">
        <is>
          <t>DALARNAS LÄN</t>
        </is>
      </c>
      <c r="E869" t="inlineStr">
        <is>
          <t>ORSA</t>
        </is>
      </c>
      <c r="G869" t="n">
        <v>1.8</v>
      </c>
      <c r="H869" t="n">
        <v>0</v>
      </c>
      <c r="I869" t="n">
        <v>1</v>
      </c>
      <c r="J869" t="n">
        <v>0</v>
      </c>
      <c r="K869" t="n">
        <v>0</v>
      </c>
      <c r="L869" t="n">
        <v>0</v>
      </c>
      <c r="M869" t="n">
        <v>0</v>
      </c>
      <c r="N869" t="n">
        <v>0</v>
      </c>
      <c r="O869" t="n">
        <v>0</v>
      </c>
      <c r="P869" t="n">
        <v>0</v>
      </c>
      <c r="Q869" t="n">
        <v>1</v>
      </c>
      <c r="R869" s="2" t="inlineStr">
        <is>
          <t>Korallblylav</t>
        </is>
      </c>
      <c r="S869">
        <f>HYPERLINK("https://klasma.github.io/Logging_2034/artfynd/A 29044-2023 artfynd.xlsx", "A 29044-2023")</f>
        <v/>
      </c>
      <c r="T869">
        <f>HYPERLINK("https://klasma.github.io/Logging_2034/kartor/A 29044-2023 karta.png", "A 29044-2023")</f>
        <v/>
      </c>
      <c r="V869">
        <f>HYPERLINK("https://klasma.github.io/Logging_2034/klagomål/A 29044-2023 FSC-klagomål.docx", "A 29044-2023")</f>
        <v/>
      </c>
      <c r="W869">
        <f>HYPERLINK("https://klasma.github.io/Logging_2034/klagomålsmail/A 29044-2023 FSC-klagomål mail.docx", "A 29044-2023")</f>
        <v/>
      </c>
      <c r="X869">
        <f>HYPERLINK("https://klasma.github.io/Logging_2034/tillsyn/A 29044-2023 tillsynsbegäran.docx", "A 29044-2023")</f>
        <v/>
      </c>
      <c r="Y869">
        <f>HYPERLINK("https://klasma.github.io/Logging_2034/tillsynsmail/A 29044-2023 tillsynsbegäran mail.docx", "A 29044-2023")</f>
        <v/>
      </c>
    </row>
    <row r="870" ht="15" customHeight="1">
      <c r="A870" t="inlineStr">
        <is>
          <t>A 29144-2023</t>
        </is>
      </c>
      <c r="B870" s="1" t="n">
        <v>45105</v>
      </c>
      <c r="C870" s="1" t="n">
        <v>45706</v>
      </c>
      <c r="D870" t="inlineStr">
        <is>
          <t>DALARNAS LÄN</t>
        </is>
      </c>
      <c r="E870" t="inlineStr">
        <is>
          <t>LUDVIKA</t>
        </is>
      </c>
      <c r="F870" t="inlineStr">
        <is>
          <t>Allmännings- och besparingsskogar</t>
        </is>
      </c>
      <c r="G870" t="n">
        <v>7.2</v>
      </c>
      <c r="H870" t="n">
        <v>1</v>
      </c>
      <c r="I870" t="n">
        <v>0</v>
      </c>
      <c r="J870" t="n">
        <v>0</v>
      </c>
      <c r="K870" t="n">
        <v>1</v>
      </c>
      <c r="L870" t="n">
        <v>0</v>
      </c>
      <c r="M870" t="n">
        <v>0</v>
      </c>
      <c r="N870" t="n">
        <v>0</v>
      </c>
      <c r="O870" t="n">
        <v>1</v>
      </c>
      <c r="P870" t="n">
        <v>1</v>
      </c>
      <c r="Q870" t="n">
        <v>1</v>
      </c>
      <c r="R870" s="2" t="inlineStr">
        <is>
          <t>Knärot</t>
        </is>
      </c>
      <c r="S870">
        <f>HYPERLINK("https://klasma.github.io/Logging_2085/artfynd/A 29144-2023 artfynd.xlsx", "A 29144-2023")</f>
        <v/>
      </c>
      <c r="T870">
        <f>HYPERLINK("https://klasma.github.io/Logging_2085/kartor/A 29144-2023 karta.png", "A 29144-2023")</f>
        <v/>
      </c>
      <c r="U870">
        <f>HYPERLINK("https://klasma.github.io/Logging_2085/knärot/A 29144-2023 karta knärot.png", "A 29144-2023")</f>
        <v/>
      </c>
      <c r="V870">
        <f>HYPERLINK("https://klasma.github.io/Logging_2085/klagomål/A 29144-2023 FSC-klagomål.docx", "A 29144-2023")</f>
        <v/>
      </c>
      <c r="W870">
        <f>HYPERLINK("https://klasma.github.io/Logging_2085/klagomålsmail/A 29144-2023 FSC-klagomål mail.docx", "A 29144-2023")</f>
        <v/>
      </c>
      <c r="X870">
        <f>HYPERLINK("https://klasma.github.io/Logging_2085/tillsyn/A 29144-2023 tillsynsbegäran.docx", "A 29144-2023")</f>
        <v/>
      </c>
      <c r="Y870">
        <f>HYPERLINK("https://klasma.github.io/Logging_2085/tillsynsmail/A 29144-2023 tillsynsbegäran mail.docx", "A 29144-2023")</f>
        <v/>
      </c>
    </row>
    <row r="871" ht="15" customHeight="1">
      <c r="A871" t="inlineStr">
        <is>
          <t>A 30014-2023</t>
        </is>
      </c>
      <c r="B871" s="1" t="n">
        <v>45109</v>
      </c>
      <c r="C871" s="1" t="n">
        <v>45706</v>
      </c>
      <c r="D871" t="inlineStr">
        <is>
          <t>DALARNAS LÄN</t>
        </is>
      </c>
      <c r="E871" t="inlineStr">
        <is>
          <t>HEDEMORA</t>
        </is>
      </c>
      <c r="F871" t="inlineStr">
        <is>
          <t>Sveaskog</t>
        </is>
      </c>
      <c r="G871" t="n">
        <v>1.6</v>
      </c>
      <c r="H871" t="n">
        <v>1</v>
      </c>
      <c r="I871" t="n">
        <v>1</v>
      </c>
      <c r="J871" t="n">
        <v>0</v>
      </c>
      <c r="K871" t="n">
        <v>0</v>
      </c>
      <c r="L871" t="n">
        <v>0</v>
      </c>
      <c r="M871" t="n">
        <v>0</v>
      </c>
      <c r="N871" t="n">
        <v>0</v>
      </c>
      <c r="O871" t="n">
        <v>0</v>
      </c>
      <c r="P871" t="n">
        <v>0</v>
      </c>
      <c r="Q871" t="n">
        <v>1</v>
      </c>
      <c r="R871" s="2" t="inlineStr">
        <is>
          <t>Plattlummer</t>
        </is>
      </c>
      <c r="S871">
        <f>HYPERLINK("https://klasma.github.io/Logging_2083/artfynd/A 30014-2023 artfynd.xlsx", "A 30014-2023")</f>
        <v/>
      </c>
      <c r="T871">
        <f>HYPERLINK("https://klasma.github.io/Logging_2083/kartor/A 30014-2023 karta.png", "A 30014-2023")</f>
        <v/>
      </c>
      <c r="V871">
        <f>HYPERLINK("https://klasma.github.io/Logging_2083/klagomål/A 30014-2023 FSC-klagomål.docx", "A 30014-2023")</f>
        <v/>
      </c>
      <c r="W871">
        <f>HYPERLINK("https://klasma.github.io/Logging_2083/klagomålsmail/A 30014-2023 FSC-klagomål mail.docx", "A 30014-2023")</f>
        <v/>
      </c>
      <c r="X871">
        <f>HYPERLINK("https://klasma.github.io/Logging_2083/tillsyn/A 30014-2023 tillsynsbegäran.docx", "A 30014-2023")</f>
        <v/>
      </c>
      <c r="Y871">
        <f>HYPERLINK("https://klasma.github.io/Logging_2083/tillsynsmail/A 30014-2023 tillsynsbegäran mail.docx", "A 30014-2023")</f>
        <v/>
      </c>
    </row>
    <row r="872" ht="15" customHeight="1">
      <c r="A872" t="inlineStr">
        <is>
          <t>A 30053-2023</t>
        </is>
      </c>
      <c r="B872" s="1" t="n">
        <v>45110</v>
      </c>
      <c r="C872" s="1" t="n">
        <v>45706</v>
      </c>
      <c r="D872" t="inlineStr">
        <is>
          <t>DALARNAS LÄN</t>
        </is>
      </c>
      <c r="E872" t="inlineStr">
        <is>
          <t>LUDVIKA</t>
        </is>
      </c>
      <c r="F872" t="inlineStr">
        <is>
          <t>Bergvik skog väst AB</t>
        </is>
      </c>
      <c r="G872" t="n">
        <v>6.8</v>
      </c>
      <c r="H872" t="n">
        <v>0</v>
      </c>
      <c r="I872" t="n">
        <v>0</v>
      </c>
      <c r="J872" t="n">
        <v>1</v>
      </c>
      <c r="K872" t="n">
        <v>0</v>
      </c>
      <c r="L872" t="n">
        <v>0</v>
      </c>
      <c r="M872" t="n">
        <v>0</v>
      </c>
      <c r="N872" t="n">
        <v>0</v>
      </c>
      <c r="O872" t="n">
        <v>1</v>
      </c>
      <c r="P872" t="n">
        <v>0</v>
      </c>
      <c r="Q872" t="n">
        <v>1</v>
      </c>
      <c r="R872" s="2" t="inlineStr">
        <is>
          <t>Garnlav</t>
        </is>
      </c>
      <c r="S872">
        <f>HYPERLINK("https://klasma.github.io/Logging_2085/artfynd/A 30053-2023 artfynd.xlsx", "A 30053-2023")</f>
        <v/>
      </c>
      <c r="T872">
        <f>HYPERLINK("https://klasma.github.io/Logging_2085/kartor/A 30053-2023 karta.png", "A 30053-2023")</f>
        <v/>
      </c>
      <c r="V872">
        <f>HYPERLINK("https://klasma.github.io/Logging_2085/klagomål/A 30053-2023 FSC-klagomål.docx", "A 30053-2023")</f>
        <v/>
      </c>
      <c r="W872">
        <f>HYPERLINK("https://klasma.github.io/Logging_2085/klagomålsmail/A 30053-2023 FSC-klagomål mail.docx", "A 30053-2023")</f>
        <v/>
      </c>
      <c r="X872">
        <f>HYPERLINK("https://klasma.github.io/Logging_2085/tillsyn/A 30053-2023 tillsynsbegäran.docx", "A 30053-2023")</f>
        <v/>
      </c>
      <c r="Y872">
        <f>HYPERLINK("https://klasma.github.io/Logging_2085/tillsynsmail/A 30053-2023 tillsynsbegäran mail.docx", "A 30053-2023")</f>
        <v/>
      </c>
    </row>
    <row r="873" ht="15" customHeight="1">
      <c r="A873" t="inlineStr">
        <is>
          <t>A 30906-2023</t>
        </is>
      </c>
      <c r="B873" s="1" t="n">
        <v>45113</v>
      </c>
      <c r="C873" s="1" t="n">
        <v>45706</v>
      </c>
      <c r="D873" t="inlineStr">
        <is>
          <t>DALARNAS LÄN</t>
        </is>
      </c>
      <c r="E873" t="inlineStr">
        <is>
          <t>MORA</t>
        </is>
      </c>
      <c r="G873" t="n">
        <v>3.1</v>
      </c>
      <c r="H873" t="n">
        <v>0</v>
      </c>
      <c r="I873" t="n">
        <v>0</v>
      </c>
      <c r="J873" t="n">
        <v>0</v>
      </c>
      <c r="K873" t="n">
        <v>1</v>
      </c>
      <c r="L873" t="n">
        <v>0</v>
      </c>
      <c r="M873" t="n">
        <v>0</v>
      </c>
      <c r="N873" t="n">
        <v>0</v>
      </c>
      <c r="O873" t="n">
        <v>1</v>
      </c>
      <c r="P873" t="n">
        <v>1</v>
      </c>
      <c r="Q873" t="n">
        <v>1</v>
      </c>
      <c r="R873" s="2" t="inlineStr">
        <is>
          <t>Jättemusseron</t>
        </is>
      </c>
      <c r="S873">
        <f>HYPERLINK("https://klasma.github.io/Logging_2062/artfynd/A 30906-2023 artfynd.xlsx", "A 30906-2023")</f>
        <v/>
      </c>
      <c r="T873">
        <f>HYPERLINK("https://klasma.github.io/Logging_2062/kartor/A 30906-2023 karta.png", "A 30906-2023")</f>
        <v/>
      </c>
      <c r="V873">
        <f>HYPERLINK("https://klasma.github.io/Logging_2062/klagomål/A 30906-2023 FSC-klagomål.docx", "A 30906-2023")</f>
        <v/>
      </c>
      <c r="W873">
        <f>HYPERLINK("https://klasma.github.io/Logging_2062/klagomålsmail/A 30906-2023 FSC-klagomål mail.docx", "A 30906-2023")</f>
        <v/>
      </c>
      <c r="X873">
        <f>HYPERLINK("https://klasma.github.io/Logging_2062/tillsyn/A 30906-2023 tillsynsbegäran.docx", "A 30906-2023")</f>
        <v/>
      </c>
      <c r="Y873">
        <f>HYPERLINK("https://klasma.github.io/Logging_2062/tillsynsmail/A 30906-2023 tillsynsbegäran mail.docx", "A 30906-2023")</f>
        <v/>
      </c>
    </row>
    <row r="874" ht="15" customHeight="1">
      <c r="A874" t="inlineStr">
        <is>
          <t>A 30936-2023</t>
        </is>
      </c>
      <c r="B874" s="1" t="n">
        <v>45113</v>
      </c>
      <c r="C874" s="1" t="n">
        <v>45706</v>
      </c>
      <c r="D874" t="inlineStr">
        <is>
          <t>DALARNAS LÄN</t>
        </is>
      </c>
      <c r="E874" t="inlineStr">
        <is>
          <t>HEDEMORA</t>
        </is>
      </c>
      <c r="F874" t="inlineStr">
        <is>
          <t>Sveaskog</t>
        </is>
      </c>
      <c r="G874" t="n">
        <v>9.199999999999999</v>
      </c>
      <c r="H874" t="n">
        <v>0</v>
      </c>
      <c r="I874" t="n">
        <v>0</v>
      </c>
      <c r="J874" t="n">
        <v>1</v>
      </c>
      <c r="K874" t="n">
        <v>0</v>
      </c>
      <c r="L874" t="n">
        <v>0</v>
      </c>
      <c r="M874" t="n">
        <v>0</v>
      </c>
      <c r="N874" t="n">
        <v>0</v>
      </c>
      <c r="O874" t="n">
        <v>1</v>
      </c>
      <c r="P874" t="n">
        <v>0</v>
      </c>
      <c r="Q874" t="n">
        <v>1</v>
      </c>
      <c r="R874" s="2" t="inlineStr">
        <is>
          <t>Kolflarnlav</t>
        </is>
      </c>
      <c r="S874">
        <f>HYPERLINK("https://klasma.github.io/Logging_2083/artfynd/A 30936-2023 artfynd.xlsx", "A 30936-2023")</f>
        <v/>
      </c>
      <c r="T874">
        <f>HYPERLINK("https://klasma.github.io/Logging_2083/kartor/A 30936-2023 karta.png", "A 30936-2023")</f>
        <v/>
      </c>
      <c r="V874">
        <f>HYPERLINK("https://klasma.github.io/Logging_2083/klagomål/A 30936-2023 FSC-klagomål.docx", "A 30936-2023")</f>
        <v/>
      </c>
      <c r="W874">
        <f>HYPERLINK("https://klasma.github.io/Logging_2083/klagomålsmail/A 30936-2023 FSC-klagomål mail.docx", "A 30936-2023")</f>
        <v/>
      </c>
      <c r="X874">
        <f>HYPERLINK("https://klasma.github.io/Logging_2083/tillsyn/A 30936-2023 tillsynsbegäran.docx", "A 30936-2023")</f>
        <v/>
      </c>
      <c r="Y874">
        <f>HYPERLINK("https://klasma.github.io/Logging_2083/tillsynsmail/A 30936-2023 tillsynsbegäran mail.docx", "A 30936-2023")</f>
        <v/>
      </c>
    </row>
    <row r="875" ht="15" customHeight="1">
      <c r="A875" t="inlineStr">
        <is>
          <t>A 31620-2023</t>
        </is>
      </c>
      <c r="B875" s="1" t="n">
        <v>45117</v>
      </c>
      <c r="C875" s="1" t="n">
        <v>45706</v>
      </c>
      <c r="D875" t="inlineStr">
        <is>
          <t>DALARNAS LÄN</t>
        </is>
      </c>
      <c r="E875" t="inlineStr">
        <is>
          <t>FALUN</t>
        </is>
      </c>
      <c r="F875" t="inlineStr">
        <is>
          <t>Bergvik skog väst AB</t>
        </is>
      </c>
      <c r="G875" t="n">
        <v>4.6</v>
      </c>
      <c r="H875" t="n">
        <v>1</v>
      </c>
      <c r="I875" t="n">
        <v>0</v>
      </c>
      <c r="J875" t="n">
        <v>0</v>
      </c>
      <c r="K875" t="n">
        <v>1</v>
      </c>
      <c r="L875" t="n">
        <v>0</v>
      </c>
      <c r="M875" t="n">
        <v>0</v>
      </c>
      <c r="N875" t="n">
        <v>0</v>
      </c>
      <c r="O875" t="n">
        <v>1</v>
      </c>
      <c r="P875" t="n">
        <v>1</v>
      </c>
      <c r="Q875" t="n">
        <v>1</v>
      </c>
      <c r="R875" s="2" t="inlineStr">
        <is>
          <t>Knärot</t>
        </is>
      </c>
      <c r="S875">
        <f>HYPERLINK("https://klasma.github.io/Logging_2080/artfynd/A 31620-2023 artfynd.xlsx", "A 31620-2023")</f>
        <v/>
      </c>
      <c r="T875">
        <f>HYPERLINK("https://klasma.github.io/Logging_2080/kartor/A 31620-2023 karta.png", "A 31620-2023")</f>
        <v/>
      </c>
      <c r="U875">
        <f>HYPERLINK("https://klasma.github.io/Logging_2080/knärot/A 31620-2023 karta knärot.png", "A 31620-2023")</f>
        <v/>
      </c>
      <c r="V875">
        <f>HYPERLINK("https://klasma.github.io/Logging_2080/klagomål/A 31620-2023 FSC-klagomål.docx", "A 31620-2023")</f>
        <v/>
      </c>
      <c r="W875">
        <f>HYPERLINK("https://klasma.github.io/Logging_2080/klagomålsmail/A 31620-2023 FSC-klagomål mail.docx", "A 31620-2023")</f>
        <v/>
      </c>
      <c r="X875">
        <f>HYPERLINK("https://klasma.github.io/Logging_2080/tillsyn/A 31620-2023 tillsynsbegäran.docx", "A 31620-2023")</f>
        <v/>
      </c>
      <c r="Y875">
        <f>HYPERLINK("https://klasma.github.io/Logging_2080/tillsynsmail/A 31620-2023 tillsynsbegäran mail.docx", "A 31620-2023")</f>
        <v/>
      </c>
    </row>
    <row r="876" ht="15" customHeight="1">
      <c r="A876" t="inlineStr">
        <is>
          <t>A 33553-2023</t>
        </is>
      </c>
      <c r="B876" s="1" t="n">
        <v>45118</v>
      </c>
      <c r="C876" s="1" t="n">
        <v>45706</v>
      </c>
      <c r="D876" t="inlineStr">
        <is>
          <t>DALARNAS LÄN</t>
        </is>
      </c>
      <c r="E876" t="inlineStr">
        <is>
          <t>ÄLVDALEN</t>
        </is>
      </c>
      <c r="G876" t="n">
        <v>1.3</v>
      </c>
      <c r="H876" t="n">
        <v>0</v>
      </c>
      <c r="I876" t="n">
        <v>0</v>
      </c>
      <c r="J876" t="n">
        <v>1</v>
      </c>
      <c r="K876" t="n">
        <v>0</v>
      </c>
      <c r="L876" t="n">
        <v>0</v>
      </c>
      <c r="M876" t="n">
        <v>0</v>
      </c>
      <c r="N876" t="n">
        <v>0</v>
      </c>
      <c r="O876" t="n">
        <v>1</v>
      </c>
      <c r="P876" t="n">
        <v>0</v>
      </c>
      <c r="Q876" t="n">
        <v>1</v>
      </c>
      <c r="R876" s="2" t="inlineStr">
        <is>
          <t>Lunglav</t>
        </is>
      </c>
      <c r="S876">
        <f>HYPERLINK("https://klasma.github.io/Logging_2039/artfynd/A 33553-2023 artfynd.xlsx", "A 33553-2023")</f>
        <v/>
      </c>
      <c r="T876">
        <f>HYPERLINK("https://klasma.github.io/Logging_2039/kartor/A 33553-2023 karta.png", "A 33553-2023")</f>
        <v/>
      </c>
      <c r="V876">
        <f>HYPERLINK("https://klasma.github.io/Logging_2039/klagomål/A 33553-2023 FSC-klagomål.docx", "A 33553-2023")</f>
        <v/>
      </c>
      <c r="W876">
        <f>HYPERLINK("https://klasma.github.io/Logging_2039/klagomålsmail/A 33553-2023 FSC-klagomål mail.docx", "A 33553-2023")</f>
        <v/>
      </c>
      <c r="X876">
        <f>HYPERLINK("https://klasma.github.io/Logging_2039/tillsyn/A 33553-2023 tillsynsbegäran.docx", "A 33553-2023")</f>
        <v/>
      </c>
      <c r="Y876">
        <f>HYPERLINK("https://klasma.github.io/Logging_2039/tillsynsmail/A 33553-2023 tillsynsbegäran mail.docx", "A 33553-2023")</f>
        <v/>
      </c>
    </row>
    <row r="877" ht="15" customHeight="1">
      <c r="A877" t="inlineStr">
        <is>
          <t>A 32029-2023</t>
        </is>
      </c>
      <c r="B877" s="1" t="n">
        <v>45119</v>
      </c>
      <c r="C877" s="1" t="n">
        <v>45706</v>
      </c>
      <c r="D877" t="inlineStr">
        <is>
          <t>DALARNAS LÄN</t>
        </is>
      </c>
      <c r="E877" t="inlineStr">
        <is>
          <t>SMEDJEBACKEN</t>
        </is>
      </c>
      <c r="F877" t="inlineStr">
        <is>
          <t>Bergvik skog väst AB</t>
        </is>
      </c>
      <c r="G877" t="n">
        <v>3.9</v>
      </c>
      <c r="H877" t="n">
        <v>1</v>
      </c>
      <c r="I877" t="n">
        <v>0</v>
      </c>
      <c r="J877" t="n">
        <v>1</v>
      </c>
      <c r="K877" t="n">
        <v>0</v>
      </c>
      <c r="L877" t="n">
        <v>0</v>
      </c>
      <c r="M877" t="n">
        <v>0</v>
      </c>
      <c r="N877" t="n">
        <v>0</v>
      </c>
      <c r="O877" t="n">
        <v>1</v>
      </c>
      <c r="P877" t="n">
        <v>0</v>
      </c>
      <c r="Q877" t="n">
        <v>1</v>
      </c>
      <c r="R877" s="2" t="inlineStr">
        <is>
          <t>Spillkråka</t>
        </is>
      </c>
      <c r="S877">
        <f>HYPERLINK("https://klasma.github.io/Logging_2061/artfynd/A 32029-2023 artfynd.xlsx", "A 32029-2023")</f>
        <v/>
      </c>
      <c r="T877">
        <f>HYPERLINK("https://klasma.github.io/Logging_2061/kartor/A 32029-2023 karta.png", "A 32029-2023")</f>
        <v/>
      </c>
      <c r="V877">
        <f>HYPERLINK("https://klasma.github.io/Logging_2061/klagomål/A 32029-2023 FSC-klagomål.docx", "A 32029-2023")</f>
        <v/>
      </c>
      <c r="W877">
        <f>HYPERLINK("https://klasma.github.io/Logging_2061/klagomålsmail/A 32029-2023 FSC-klagomål mail.docx", "A 32029-2023")</f>
        <v/>
      </c>
      <c r="X877">
        <f>HYPERLINK("https://klasma.github.io/Logging_2061/tillsyn/A 32029-2023 tillsynsbegäran.docx", "A 32029-2023")</f>
        <v/>
      </c>
      <c r="Y877">
        <f>HYPERLINK("https://klasma.github.io/Logging_2061/tillsynsmail/A 32029-2023 tillsynsbegäran mail.docx", "A 32029-2023")</f>
        <v/>
      </c>
      <c r="Z877">
        <f>HYPERLINK("https://klasma.github.io/Logging_2061/fåglar/A 32029-2023 prioriterade fågelarter.docx", "A 32029-2023")</f>
        <v/>
      </c>
    </row>
    <row r="878" ht="15" customHeight="1">
      <c r="A878" t="inlineStr">
        <is>
          <t>A 32068-2023</t>
        </is>
      </c>
      <c r="B878" s="1" t="n">
        <v>45119</v>
      </c>
      <c r="C878" s="1" t="n">
        <v>45706</v>
      </c>
      <c r="D878" t="inlineStr">
        <is>
          <t>DALARNAS LÄN</t>
        </is>
      </c>
      <c r="E878" t="inlineStr">
        <is>
          <t>MALUNG-SÄLEN</t>
        </is>
      </c>
      <c r="F878" t="inlineStr">
        <is>
          <t>Bergvik skog öst AB</t>
        </is>
      </c>
      <c r="G878" t="n">
        <v>1.6</v>
      </c>
      <c r="H878" t="n">
        <v>1</v>
      </c>
      <c r="I878" t="n">
        <v>0</v>
      </c>
      <c r="J878" t="n">
        <v>1</v>
      </c>
      <c r="K878" t="n">
        <v>0</v>
      </c>
      <c r="L878" t="n">
        <v>0</v>
      </c>
      <c r="M878" t="n">
        <v>0</v>
      </c>
      <c r="N878" t="n">
        <v>0</v>
      </c>
      <c r="O878" t="n">
        <v>1</v>
      </c>
      <c r="P878" t="n">
        <v>0</v>
      </c>
      <c r="Q878" t="n">
        <v>1</v>
      </c>
      <c r="R878" s="2" t="inlineStr">
        <is>
          <t>Kungsörn</t>
        </is>
      </c>
      <c r="S878">
        <f>HYPERLINK("https://klasma.github.io/Logging_2023/artfynd/A 32068-2023 artfynd.xlsx", "A 32068-2023")</f>
        <v/>
      </c>
      <c r="T878">
        <f>HYPERLINK("https://klasma.github.io/Logging_2023/kartor/A 32068-2023 karta.png", "A 32068-2023")</f>
        <v/>
      </c>
      <c r="V878">
        <f>HYPERLINK("https://klasma.github.io/Logging_2023/klagomål/A 32068-2023 FSC-klagomål.docx", "A 32068-2023")</f>
        <v/>
      </c>
      <c r="W878">
        <f>HYPERLINK("https://klasma.github.io/Logging_2023/klagomålsmail/A 32068-2023 FSC-klagomål mail.docx", "A 32068-2023")</f>
        <v/>
      </c>
      <c r="X878">
        <f>HYPERLINK("https://klasma.github.io/Logging_2023/tillsyn/A 32068-2023 tillsynsbegäran.docx", "A 32068-2023")</f>
        <v/>
      </c>
      <c r="Y878">
        <f>HYPERLINK("https://klasma.github.io/Logging_2023/tillsynsmail/A 32068-2023 tillsynsbegäran mail.docx", "A 32068-2023")</f>
        <v/>
      </c>
      <c r="Z878">
        <f>HYPERLINK("https://klasma.github.io/Logging_2023/fåglar/A 32068-2023 prioriterade fågelarter.docx", "A 32068-2023")</f>
        <v/>
      </c>
    </row>
    <row r="879" ht="15" customHeight="1">
      <c r="A879" t="inlineStr">
        <is>
          <t>A 33023-2023</t>
        </is>
      </c>
      <c r="B879" s="1" t="n">
        <v>45125</v>
      </c>
      <c r="C879" s="1" t="n">
        <v>45706</v>
      </c>
      <c r="D879" t="inlineStr">
        <is>
          <t>DALARNAS LÄN</t>
        </is>
      </c>
      <c r="E879" t="inlineStr">
        <is>
          <t>HEDEMORA</t>
        </is>
      </c>
      <c r="F879" t="inlineStr">
        <is>
          <t>Sveaskog</t>
        </is>
      </c>
      <c r="G879" t="n">
        <v>3.9</v>
      </c>
      <c r="H879" t="n">
        <v>1</v>
      </c>
      <c r="I879" t="n">
        <v>0</v>
      </c>
      <c r="J879" t="n">
        <v>0</v>
      </c>
      <c r="K879" t="n">
        <v>0</v>
      </c>
      <c r="L879" t="n">
        <v>0</v>
      </c>
      <c r="M879" t="n">
        <v>0</v>
      </c>
      <c r="N879" t="n">
        <v>0</v>
      </c>
      <c r="O879" t="n">
        <v>0</v>
      </c>
      <c r="P879" t="n">
        <v>0</v>
      </c>
      <c r="Q879" t="n">
        <v>1</v>
      </c>
      <c r="R879" s="2" t="inlineStr">
        <is>
          <t>Revlummer</t>
        </is>
      </c>
      <c r="S879">
        <f>HYPERLINK("https://klasma.github.io/Logging_2083/artfynd/A 33023-2023 artfynd.xlsx", "A 33023-2023")</f>
        <v/>
      </c>
      <c r="T879">
        <f>HYPERLINK("https://klasma.github.io/Logging_2083/kartor/A 33023-2023 karta.png", "A 33023-2023")</f>
        <v/>
      </c>
      <c r="V879">
        <f>HYPERLINK("https://klasma.github.io/Logging_2083/klagomål/A 33023-2023 FSC-klagomål.docx", "A 33023-2023")</f>
        <v/>
      </c>
      <c r="W879">
        <f>HYPERLINK("https://klasma.github.io/Logging_2083/klagomålsmail/A 33023-2023 FSC-klagomål mail.docx", "A 33023-2023")</f>
        <v/>
      </c>
      <c r="X879">
        <f>HYPERLINK("https://klasma.github.io/Logging_2083/tillsyn/A 33023-2023 tillsynsbegäran.docx", "A 33023-2023")</f>
        <v/>
      </c>
      <c r="Y879">
        <f>HYPERLINK("https://klasma.github.io/Logging_2083/tillsynsmail/A 33023-2023 tillsynsbegäran mail.docx", "A 33023-2023")</f>
        <v/>
      </c>
    </row>
    <row r="880" ht="15" customHeight="1">
      <c r="A880" t="inlineStr">
        <is>
          <t>A 33055-2023</t>
        </is>
      </c>
      <c r="B880" s="1" t="n">
        <v>45126</v>
      </c>
      <c r="C880" s="1" t="n">
        <v>45706</v>
      </c>
      <c r="D880" t="inlineStr">
        <is>
          <t>DALARNAS LÄN</t>
        </is>
      </c>
      <c r="E880" t="inlineStr">
        <is>
          <t>LUDVIKA</t>
        </is>
      </c>
      <c r="F880" t="inlineStr">
        <is>
          <t>Bergvik skog väst AB</t>
        </is>
      </c>
      <c r="G880" t="n">
        <v>6</v>
      </c>
      <c r="H880" t="n">
        <v>0</v>
      </c>
      <c r="I880" t="n">
        <v>1</v>
      </c>
      <c r="J880" t="n">
        <v>0</v>
      </c>
      <c r="K880" t="n">
        <v>0</v>
      </c>
      <c r="L880" t="n">
        <v>0</v>
      </c>
      <c r="M880" t="n">
        <v>0</v>
      </c>
      <c r="N880" t="n">
        <v>0</v>
      </c>
      <c r="O880" t="n">
        <v>0</v>
      </c>
      <c r="P880" t="n">
        <v>0</v>
      </c>
      <c r="Q880" t="n">
        <v>1</v>
      </c>
      <c r="R880" s="2" t="inlineStr">
        <is>
          <t>Vedticka</t>
        </is>
      </c>
      <c r="S880">
        <f>HYPERLINK("https://klasma.github.io/Logging_2085/artfynd/A 33055-2023 artfynd.xlsx", "A 33055-2023")</f>
        <v/>
      </c>
      <c r="T880">
        <f>HYPERLINK("https://klasma.github.io/Logging_2085/kartor/A 33055-2023 karta.png", "A 33055-2023")</f>
        <v/>
      </c>
      <c r="V880">
        <f>HYPERLINK("https://klasma.github.io/Logging_2085/klagomål/A 33055-2023 FSC-klagomål.docx", "A 33055-2023")</f>
        <v/>
      </c>
      <c r="W880">
        <f>HYPERLINK("https://klasma.github.io/Logging_2085/klagomålsmail/A 33055-2023 FSC-klagomål mail.docx", "A 33055-2023")</f>
        <v/>
      </c>
      <c r="X880">
        <f>HYPERLINK("https://klasma.github.io/Logging_2085/tillsyn/A 33055-2023 tillsynsbegäran.docx", "A 33055-2023")</f>
        <v/>
      </c>
      <c r="Y880">
        <f>HYPERLINK("https://klasma.github.io/Logging_2085/tillsynsmail/A 33055-2023 tillsynsbegäran mail.docx", "A 33055-2023")</f>
        <v/>
      </c>
    </row>
    <row r="881" ht="15" customHeight="1">
      <c r="A881" t="inlineStr">
        <is>
          <t>A 34194-2023</t>
        </is>
      </c>
      <c r="B881" s="1" t="n">
        <v>45138</v>
      </c>
      <c r="C881" s="1" t="n">
        <v>45706</v>
      </c>
      <c r="D881" t="inlineStr">
        <is>
          <t>DALARNAS LÄN</t>
        </is>
      </c>
      <c r="E881" t="inlineStr">
        <is>
          <t>MORA</t>
        </is>
      </c>
      <c r="G881" t="n">
        <v>8.699999999999999</v>
      </c>
      <c r="H881" t="n">
        <v>0</v>
      </c>
      <c r="I881" t="n">
        <v>0</v>
      </c>
      <c r="J881" t="n">
        <v>1</v>
      </c>
      <c r="K881" t="n">
        <v>0</v>
      </c>
      <c r="L881" t="n">
        <v>0</v>
      </c>
      <c r="M881" t="n">
        <v>0</v>
      </c>
      <c r="N881" t="n">
        <v>0</v>
      </c>
      <c r="O881" t="n">
        <v>1</v>
      </c>
      <c r="P881" t="n">
        <v>0</v>
      </c>
      <c r="Q881" t="n">
        <v>1</v>
      </c>
      <c r="R881" s="2" t="inlineStr">
        <is>
          <t>Motaggsvamp</t>
        </is>
      </c>
      <c r="S881">
        <f>HYPERLINK("https://klasma.github.io/Logging_2062/artfynd/A 34194-2023 artfynd.xlsx", "A 34194-2023")</f>
        <v/>
      </c>
      <c r="T881">
        <f>HYPERLINK("https://klasma.github.io/Logging_2062/kartor/A 34194-2023 karta.png", "A 34194-2023")</f>
        <v/>
      </c>
      <c r="V881">
        <f>HYPERLINK("https://klasma.github.io/Logging_2062/klagomål/A 34194-2023 FSC-klagomål.docx", "A 34194-2023")</f>
        <v/>
      </c>
      <c r="W881">
        <f>HYPERLINK("https://klasma.github.io/Logging_2062/klagomålsmail/A 34194-2023 FSC-klagomål mail.docx", "A 34194-2023")</f>
        <v/>
      </c>
      <c r="X881">
        <f>HYPERLINK("https://klasma.github.io/Logging_2062/tillsyn/A 34194-2023 tillsynsbegäran.docx", "A 34194-2023")</f>
        <v/>
      </c>
      <c r="Y881">
        <f>HYPERLINK("https://klasma.github.io/Logging_2062/tillsynsmail/A 34194-2023 tillsynsbegäran mail.docx", "A 34194-2023")</f>
        <v/>
      </c>
    </row>
    <row r="882" ht="15" customHeight="1">
      <c r="A882" t="inlineStr">
        <is>
          <t>A 34539-2023</t>
        </is>
      </c>
      <c r="B882" s="1" t="n">
        <v>45140</v>
      </c>
      <c r="C882" s="1" t="n">
        <v>45706</v>
      </c>
      <c r="D882" t="inlineStr">
        <is>
          <t>DALARNAS LÄN</t>
        </is>
      </c>
      <c r="E882" t="inlineStr">
        <is>
          <t>LUDVIKA</t>
        </is>
      </c>
      <c r="F882" t="inlineStr">
        <is>
          <t>Bergvik skog väst AB</t>
        </is>
      </c>
      <c r="G882" t="n">
        <v>6.1</v>
      </c>
      <c r="H882" t="n">
        <v>1</v>
      </c>
      <c r="I882" t="n">
        <v>0</v>
      </c>
      <c r="J882" t="n">
        <v>0</v>
      </c>
      <c r="K882" t="n">
        <v>0</v>
      </c>
      <c r="L882" t="n">
        <v>0</v>
      </c>
      <c r="M882" t="n">
        <v>0</v>
      </c>
      <c r="N882" t="n">
        <v>0</v>
      </c>
      <c r="O882" t="n">
        <v>0</v>
      </c>
      <c r="P882" t="n">
        <v>0</v>
      </c>
      <c r="Q882" t="n">
        <v>1</v>
      </c>
      <c r="R882" s="2" t="inlineStr">
        <is>
          <t>Gullviva</t>
        </is>
      </c>
      <c r="S882">
        <f>HYPERLINK("https://klasma.github.io/Logging_2085/artfynd/A 34539-2023 artfynd.xlsx", "A 34539-2023")</f>
        <v/>
      </c>
      <c r="T882">
        <f>HYPERLINK("https://klasma.github.io/Logging_2085/kartor/A 34539-2023 karta.png", "A 34539-2023")</f>
        <v/>
      </c>
      <c r="V882">
        <f>HYPERLINK("https://klasma.github.io/Logging_2085/klagomål/A 34539-2023 FSC-klagomål.docx", "A 34539-2023")</f>
        <v/>
      </c>
      <c r="W882">
        <f>HYPERLINK("https://klasma.github.io/Logging_2085/klagomålsmail/A 34539-2023 FSC-klagomål mail.docx", "A 34539-2023")</f>
        <v/>
      </c>
      <c r="X882">
        <f>HYPERLINK("https://klasma.github.io/Logging_2085/tillsyn/A 34539-2023 tillsynsbegäran.docx", "A 34539-2023")</f>
        <v/>
      </c>
      <c r="Y882">
        <f>HYPERLINK("https://klasma.github.io/Logging_2085/tillsynsmail/A 34539-2023 tillsynsbegäran mail.docx", "A 34539-2023")</f>
        <v/>
      </c>
    </row>
    <row r="883" ht="15" customHeight="1">
      <c r="A883" t="inlineStr">
        <is>
          <t>A 34958-2023</t>
        </is>
      </c>
      <c r="B883" s="1" t="n">
        <v>45142</v>
      </c>
      <c r="C883" s="1" t="n">
        <v>45706</v>
      </c>
      <c r="D883" t="inlineStr">
        <is>
          <t>DALARNAS LÄN</t>
        </is>
      </c>
      <c r="E883" t="inlineStr">
        <is>
          <t>FALUN</t>
        </is>
      </c>
      <c r="F883" t="inlineStr">
        <is>
          <t>Bergvik skog väst AB</t>
        </is>
      </c>
      <c r="G883" t="n">
        <v>19.2</v>
      </c>
      <c r="H883" t="n">
        <v>1</v>
      </c>
      <c r="I883" t="n">
        <v>0</v>
      </c>
      <c r="J883" t="n">
        <v>0</v>
      </c>
      <c r="K883" t="n">
        <v>0</v>
      </c>
      <c r="L883" t="n">
        <v>0</v>
      </c>
      <c r="M883" t="n">
        <v>0</v>
      </c>
      <c r="N883" t="n">
        <v>0</v>
      </c>
      <c r="O883" t="n">
        <v>0</v>
      </c>
      <c r="P883" t="n">
        <v>0</v>
      </c>
      <c r="Q883" t="n">
        <v>1</v>
      </c>
      <c r="R883" s="2" t="inlineStr">
        <is>
          <t>Tjäder</t>
        </is>
      </c>
      <c r="S883">
        <f>HYPERLINK("https://klasma.github.io/Logging_2080/artfynd/A 34958-2023 artfynd.xlsx", "A 34958-2023")</f>
        <v/>
      </c>
      <c r="T883">
        <f>HYPERLINK("https://klasma.github.io/Logging_2080/kartor/A 34958-2023 karta.png", "A 34958-2023")</f>
        <v/>
      </c>
      <c r="V883">
        <f>HYPERLINK("https://klasma.github.io/Logging_2080/klagomål/A 34958-2023 FSC-klagomål.docx", "A 34958-2023")</f>
        <v/>
      </c>
      <c r="W883">
        <f>HYPERLINK("https://klasma.github.io/Logging_2080/klagomålsmail/A 34958-2023 FSC-klagomål mail.docx", "A 34958-2023")</f>
        <v/>
      </c>
      <c r="X883">
        <f>HYPERLINK("https://klasma.github.io/Logging_2080/tillsyn/A 34958-2023 tillsynsbegäran.docx", "A 34958-2023")</f>
        <v/>
      </c>
      <c r="Y883">
        <f>HYPERLINK("https://klasma.github.io/Logging_2080/tillsynsmail/A 34958-2023 tillsynsbegäran mail.docx", "A 34958-2023")</f>
        <v/>
      </c>
      <c r="Z883">
        <f>HYPERLINK("https://klasma.github.io/Logging_2080/fåglar/A 34958-2023 prioriterade fågelarter.docx", "A 34958-2023")</f>
        <v/>
      </c>
    </row>
    <row r="884" ht="15" customHeight="1">
      <c r="A884" t="inlineStr">
        <is>
          <t>A 35112-2023</t>
        </is>
      </c>
      <c r="B884" s="1" t="n">
        <v>45145</v>
      </c>
      <c r="C884" s="1" t="n">
        <v>45706</v>
      </c>
      <c r="D884" t="inlineStr">
        <is>
          <t>DALARNAS LÄN</t>
        </is>
      </c>
      <c r="E884" t="inlineStr">
        <is>
          <t>ORSA</t>
        </is>
      </c>
      <c r="F884" t="inlineStr">
        <is>
          <t>Allmännings- och besparingsskogar</t>
        </is>
      </c>
      <c r="G884" t="n">
        <v>6.9</v>
      </c>
      <c r="H884" t="n">
        <v>0</v>
      </c>
      <c r="I884" t="n">
        <v>0</v>
      </c>
      <c r="J884" t="n">
        <v>1</v>
      </c>
      <c r="K884" t="n">
        <v>0</v>
      </c>
      <c r="L884" t="n">
        <v>0</v>
      </c>
      <c r="M884" t="n">
        <v>0</v>
      </c>
      <c r="N884" t="n">
        <v>0</v>
      </c>
      <c r="O884" t="n">
        <v>1</v>
      </c>
      <c r="P884" t="n">
        <v>0</v>
      </c>
      <c r="Q884" t="n">
        <v>1</v>
      </c>
      <c r="R884" s="2" t="inlineStr">
        <is>
          <t>Skrovellav</t>
        </is>
      </c>
      <c r="S884">
        <f>HYPERLINK("https://klasma.github.io/Logging_2034/artfynd/A 35112-2023 artfynd.xlsx", "A 35112-2023")</f>
        <v/>
      </c>
      <c r="T884">
        <f>HYPERLINK("https://klasma.github.io/Logging_2034/kartor/A 35112-2023 karta.png", "A 35112-2023")</f>
        <v/>
      </c>
      <c r="V884">
        <f>HYPERLINK("https://klasma.github.io/Logging_2034/klagomål/A 35112-2023 FSC-klagomål.docx", "A 35112-2023")</f>
        <v/>
      </c>
      <c r="W884">
        <f>HYPERLINK("https://klasma.github.io/Logging_2034/klagomålsmail/A 35112-2023 FSC-klagomål mail.docx", "A 35112-2023")</f>
        <v/>
      </c>
      <c r="X884">
        <f>HYPERLINK("https://klasma.github.io/Logging_2034/tillsyn/A 35112-2023 tillsynsbegäran.docx", "A 35112-2023")</f>
        <v/>
      </c>
      <c r="Y884">
        <f>HYPERLINK("https://klasma.github.io/Logging_2034/tillsynsmail/A 35112-2023 tillsynsbegäran mail.docx", "A 35112-2023")</f>
        <v/>
      </c>
    </row>
    <row r="885" ht="15" customHeight="1">
      <c r="A885" t="inlineStr">
        <is>
          <t>A 35185-2023</t>
        </is>
      </c>
      <c r="B885" s="1" t="n">
        <v>45145</v>
      </c>
      <c r="C885" s="1" t="n">
        <v>45706</v>
      </c>
      <c r="D885" t="inlineStr">
        <is>
          <t>DALARNAS LÄN</t>
        </is>
      </c>
      <c r="E885" t="inlineStr">
        <is>
          <t>ÄLVDALEN</t>
        </is>
      </c>
      <c r="F885" t="inlineStr">
        <is>
          <t>Sveaskog</t>
        </is>
      </c>
      <c r="G885" t="n">
        <v>1.4</v>
      </c>
      <c r="H885" t="n">
        <v>0</v>
      </c>
      <c r="I885" t="n">
        <v>0</v>
      </c>
      <c r="J885" t="n">
        <v>1</v>
      </c>
      <c r="K885" t="n">
        <v>0</v>
      </c>
      <c r="L885" t="n">
        <v>0</v>
      </c>
      <c r="M885" t="n">
        <v>0</v>
      </c>
      <c r="N885" t="n">
        <v>0</v>
      </c>
      <c r="O885" t="n">
        <v>1</v>
      </c>
      <c r="P885" t="n">
        <v>0</v>
      </c>
      <c r="Q885" t="n">
        <v>1</v>
      </c>
      <c r="R885" s="2" t="inlineStr">
        <is>
          <t>Kolflarnlav</t>
        </is>
      </c>
      <c r="S885">
        <f>HYPERLINK("https://klasma.github.io/Logging_2039/artfynd/A 35185-2023 artfynd.xlsx", "A 35185-2023")</f>
        <v/>
      </c>
      <c r="T885">
        <f>HYPERLINK("https://klasma.github.io/Logging_2039/kartor/A 35185-2023 karta.png", "A 35185-2023")</f>
        <v/>
      </c>
      <c r="V885">
        <f>HYPERLINK("https://klasma.github.io/Logging_2039/klagomål/A 35185-2023 FSC-klagomål.docx", "A 35185-2023")</f>
        <v/>
      </c>
      <c r="W885">
        <f>HYPERLINK("https://klasma.github.io/Logging_2039/klagomålsmail/A 35185-2023 FSC-klagomål mail.docx", "A 35185-2023")</f>
        <v/>
      </c>
      <c r="X885">
        <f>HYPERLINK("https://klasma.github.io/Logging_2039/tillsyn/A 35185-2023 tillsynsbegäran.docx", "A 35185-2023")</f>
        <v/>
      </c>
      <c r="Y885">
        <f>HYPERLINK("https://klasma.github.io/Logging_2039/tillsynsmail/A 35185-2023 tillsynsbegäran mail.docx", "A 35185-2023")</f>
        <v/>
      </c>
    </row>
    <row r="886" ht="15" customHeight="1">
      <c r="A886" t="inlineStr">
        <is>
          <t>A 35321-2023</t>
        </is>
      </c>
      <c r="B886" s="1" t="n">
        <v>45146</v>
      </c>
      <c r="C886" s="1" t="n">
        <v>45706</v>
      </c>
      <c r="D886" t="inlineStr">
        <is>
          <t>DALARNAS LÄN</t>
        </is>
      </c>
      <c r="E886" t="inlineStr">
        <is>
          <t>HEDEMORA</t>
        </is>
      </c>
      <c r="G886" t="n">
        <v>3.5</v>
      </c>
      <c r="H886" t="n">
        <v>1</v>
      </c>
      <c r="I886" t="n">
        <v>0</v>
      </c>
      <c r="J886" t="n">
        <v>1</v>
      </c>
      <c r="K886" t="n">
        <v>0</v>
      </c>
      <c r="L886" t="n">
        <v>0</v>
      </c>
      <c r="M886" t="n">
        <v>0</v>
      </c>
      <c r="N886" t="n">
        <v>0</v>
      </c>
      <c r="O886" t="n">
        <v>1</v>
      </c>
      <c r="P886" t="n">
        <v>0</v>
      </c>
      <c r="Q886" t="n">
        <v>1</v>
      </c>
      <c r="R886" s="2" t="inlineStr">
        <is>
          <t>Havsörn</t>
        </is>
      </c>
      <c r="S886">
        <f>HYPERLINK("https://klasma.github.io/Logging_2083/artfynd/A 35321-2023 artfynd.xlsx", "A 35321-2023")</f>
        <v/>
      </c>
      <c r="T886">
        <f>HYPERLINK("https://klasma.github.io/Logging_2083/kartor/A 35321-2023 karta.png", "A 35321-2023")</f>
        <v/>
      </c>
      <c r="V886">
        <f>HYPERLINK("https://klasma.github.io/Logging_2083/klagomål/A 35321-2023 FSC-klagomål.docx", "A 35321-2023")</f>
        <v/>
      </c>
      <c r="W886">
        <f>HYPERLINK("https://klasma.github.io/Logging_2083/klagomålsmail/A 35321-2023 FSC-klagomål mail.docx", "A 35321-2023")</f>
        <v/>
      </c>
      <c r="X886">
        <f>HYPERLINK("https://klasma.github.io/Logging_2083/tillsyn/A 35321-2023 tillsynsbegäran.docx", "A 35321-2023")</f>
        <v/>
      </c>
      <c r="Y886">
        <f>HYPERLINK("https://klasma.github.io/Logging_2083/tillsynsmail/A 35321-2023 tillsynsbegäran mail.docx", "A 35321-2023")</f>
        <v/>
      </c>
      <c r="Z886">
        <f>HYPERLINK("https://klasma.github.io/Logging_2083/fåglar/A 35321-2023 prioriterade fågelarter.docx", "A 35321-2023")</f>
        <v/>
      </c>
    </row>
    <row r="887" ht="15" customHeight="1">
      <c r="A887" t="inlineStr">
        <is>
          <t>A 35382-2023</t>
        </is>
      </c>
      <c r="B887" s="1" t="n">
        <v>45146</v>
      </c>
      <c r="C887" s="1" t="n">
        <v>45706</v>
      </c>
      <c r="D887" t="inlineStr">
        <is>
          <t>DALARNAS LÄN</t>
        </is>
      </c>
      <c r="E887" t="inlineStr">
        <is>
          <t>GAGNEF</t>
        </is>
      </c>
      <c r="G887" t="n">
        <v>4.1</v>
      </c>
      <c r="H887" t="n">
        <v>0</v>
      </c>
      <c r="I887" t="n">
        <v>1</v>
      </c>
      <c r="J887" t="n">
        <v>0</v>
      </c>
      <c r="K887" t="n">
        <v>0</v>
      </c>
      <c r="L887" t="n">
        <v>0</v>
      </c>
      <c r="M887" t="n">
        <v>0</v>
      </c>
      <c r="N887" t="n">
        <v>0</v>
      </c>
      <c r="O887" t="n">
        <v>0</v>
      </c>
      <c r="P887" t="n">
        <v>0</v>
      </c>
      <c r="Q887" t="n">
        <v>1</v>
      </c>
      <c r="R887" s="2" t="inlineStr">
        <is>
          <t>Nästlav</t>
        </is>
      </c>
      <c r="S887">
        <f>HYPERLINK("https://klasma.github.io/Logging_2026/artfynd/A 35382-2023 artfynd.xlsx", "A 35382-2023")</f>
        <v/>
      </c>
      <c r="T887">
        <f>HYPERLINK("https://klasma.github.io/Logging_2026/kartor/A 35382-2023 karta.png", "A 35382-2023")</f>
        <v/>
      </c>
      <c r="V887">
        <f>HYPERLINK("https://klasma.github.io/Logging_2026/klagomål/A 35382-2023 FSC-klagomål.docx", "A 35382-2023")</f>
        <v/>
      </c>
      <c r="W887">
        <f>HYPERLINK("https://klasma.github.io/Logging_2026/klagomålsmail/A 35382-2023 FSC-klagomål mail.docx", "A 35382-2023")</f>
        <v/>
      </c>
      <c r="X887">
        <f>HYPERLINK("https://klasma.github.io/Logging_2026/tillsyn/A 35382-2023 tillsynsbegäran.docx", "A 35382-2023")</f>
        <v/>
      </c>
      <c r="Y887">
        <f>HYPERLINK("https://klasma.github.io/Logging_2026/tillsynsmail/A 35382-2023 tillsynsbegäran mail.docx", "A 35382-2023")</f>
        <v/>
      </c>
    </row>
    <row r="888" ht="15" customHeight="1">
      <c r="A888" t="inlineStr">
        <is>
          <t>A 36559-2023</t>
        </is>
      </c>
      <c r="B888" s="1" t="n">
        <v>45153</v>
      </c>
      <c r="C888" s="1" t="n">
        <v>45706</v>
      </c>
      <c r="D888" t="inlineStr">
        <is>
          <t>DALARNAS LÄN</t>
        </is>
      </c>
      <c r="E888" t="inlineStr">
        <is>
          <t>LUDVIKA</t>
        </is>
      </c>
      <c r="F888" t="inlineStr">
        <is>
          <t>Bergvik skog väst AB</t>
        </is>
      </c>
      <c r="G888" t="n">
        <v>34.7</v>
      </c>
      <c r="H888" t="n">
        <v>0</v>
      </c>
      <c r="I888" t="n">
        <v>0</v>
      </c>
      <c r="J888" t="n">
        <v>1</v>
      </c>
      <c r="K888" t="n">
        <v>0</v>
      </c>
      <c r="L888" t="n">
        <v>0</v>
      </c>
      <c r="M888" t="n">
        <v>0</v>
      </c>
      <c r="N888" t="n">
        <v>0</v>
      </c>
      <c r="O888" t="n">
        <v>1</v>
      </c>
      <c r="P888" t="n">
        <v>0</v>
      </c>
      <c r="Q888" t="n">
        <v>1</v>
      </c>
      <c r="R888" s="2" t="inlineStr">
        <is>
          <t>Garnlav</t>
        </is>
      </c>
      <c r="S888">
        <f>HYPERLINK("https://klasma.github.io/Logging_2085/artfynd/A 36559-2023 artfynd.xlsx", "A 36559-2023")</f>
        <v/>
      </c>
      <c r="T888">
        <f>HYPERLINK("https://klasma.github.io/Logging_2085/kartor/A 36559-2023 karta.png", "A 36559-2023")</f>
        <v/>
      </c>
      <c r="V888">
        <f>HYPERLINK("https://klasma.github.io/Logging_2085/klagomål/A 36559-2023 FSC-klagomål.docx", "A 36559-2023")</f>
        <v/>
      </c>
      <c r="W888">
        <f>HYPERLINK("https://klasma.github.io/Logging_2085/klagomålsmail/A 36559-2023 FSC-klagomål mail.docx", "A 36559-2023")</f>
        <v/>
      </c>
      <c r="X888">
        <f>HYPERLINK("https://klasma.github.io/Logging_2085/tillsyn/A 36559-2023 tillsynsbegäran.docx", "A 36559-2023")</f>
        <v/>
      </c>
      <c r="Y888">
        <f>HYPERLINK("https://klasma.github.io/Logging_2085/tillsynsmail/A 36559-2023 tillsynsbegäran mail.docx", "A 36559-2023")</f>
        <v/>
      </c>
    </row>
    <row r="889" ht="15" customHeight="1">
      <c r="A889" t="inlineStr">
        <is>
          <t>A 36849-2023</t>
        </is>
      </c>
      <c r="B889" s="1" t="n">
        <v>45154</v>
      </c>
      <c r="C889" s="1" t="n">
        <v>45706</v>
      </c>
      <c r="D889" t="inlineStr">
        <is>
          <t>DALARNAS LÄN</t>
        </is>
      </c>
      <c r="E889" t="inlineStr">
        <is>
          <t>HEDEMORA</t>
        </is>
      </c>
      <c r="G889" t="n">
        <v>5.8</v>
      </c>
      <c r="H889" t="n">
        <v>1</v>
      </c>
      <c r="I889" t="n">
        <v>0</v>
      </c>
      <c r="J889" t="n">
        <v>0</v>
      </c>
      <c r="K889" t="n">
        <v>1</v>
      </c>
      <c r="L889" t="n">
        <v>0</v>
      </c>
      <c r="M889" t="n">
        <v>0</v>
      </c>
      <c r="N889" t="n">
        <v>0</v>
      </c>
      <c r="O889" t="n">
        <v>1</v>
      </c>
      <c r="P889" t="n">
        <v>1</v>
      </c>
      <c r="Q889" t="n">
        <v>1</v>
      </c>
      <c r="R889" s="2" t="inlineStr">
        <is>
          <t>Knärot</t>
        </is>
      </c>
      <c r="S889">
        <f>HYPERLINK("https://klasma.github.io/Logging_2083/artfynd/A 36849-2023 artfynd.xlsx", "A 36849-2023")</f>
        <v/>
      </c>
      <c r="T889">
        <f>HYPERLINK("https://klasma.github.io/Logging_2083/kartor/A 36849-2023 karta.png", "A 36849-2023")</f>
        <v/>
      </c>
      <c r="U889">
        <f>HYPERLINK("https://klasma.github.io/Logging_2083/knärot/A 36849-2023 karta knärot.png", "A 36849-2023")</f>
        <v/>
      </c>
      <c r="V889">
        <f>HYPERLINK("https://klasma.github.io/Logging_2083/klagomål/A 36849-2023 FSC-klagomål.docx", "A 36849-2023")</f>
        <v/>
      </c>
      <c r="W889">
        <f>HYPERLINK("https://klasma.github.io/Logging_2083/klagomålsmail/A 36849-2023 FSC-klagomål mail.docx", "A 36849-2023")</f>
        <v/>
      </c>
      <c r="X889">
        <f>HYPERLINK("https://klasma.github.io/Logging_2083/tillsyn/A 36849-2023 tillsynsbegäran.docx", "A 36849-2023")</f>
        <v/>
      </c>
      <c r="Y889">
        <f>HYPERLINK("https://klasma.github.io/Logging_2083/tillsynsmail/A 36849-2023 tillsynsbegäran mail.docx", "A 36849-2023")</f>
        <v/>
      </c>
    </row>
    <row r="890" ht="15" customHeight="1">
      <c r="A890" t="inlineStr">
        <is>
          <t>A 37654-2023</t>
        </is>
      </c>
      <c r="B890" s="1" t="n">
        <v>45159</v>
      </c>
      <c r="C890" s="1" t="n">
        <v>45706</v>
      </c>
      <c r="D890" t="inlineStr">
        <is>
          <t>DALARNAS LÄN</t>
        </is>
      </c>
      <c r="E890" t="inlineStr">
        <is>
          <t>HEDEMORA</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HYPERLINK("https://klasma.github.io/Logging_2083/artfynd/A 37654-2023 artfynd.xlsx", "A 37654-2023")</f>
        <v/>
      </c>
      <c r="T890">
        <f>HYPERLINK("https://klasma.github.io/Logging_2083/kartor/A 37654-2023 karta.png", "A 37654-2023")</f>
        <v/>
      </c>
      <c r="U890">
        <f>HYPERLINK("https://klasma.github.io/Logging_2083/knärot/A 37654-2023 karta knärot.png", "A 37654-2023")</f>
        <v/>
      </c>
      <c r="V890">
        <f>HYPERLINK("https://klasma.github.io/Logging_2083/klagomål/A 37654-2023 FSC-klagomål.docx", "A 37654-2023")</f>
        <v/>
      </c>
      <c r="W890">
        <f>HYPERLINK("https://klasma.github.io/Logging_2083/klagomålsmail/A 37654-2023 FSC-klagomål mail.docx", "A 37654-2023")</f>
        <v/>
      </c>
      <c r="X890">
        <f>HYPERLINK("https://klasma.github.io/Logging_2083/tillsyn/A 37654-2023 tillsynsbegäran.docx", "A 37654-2023")</f>
        <v/>
      </c>
      <c r="Y890">
        <f>HYPERLINK("https://klasma.github.io/Logging_2083/tillsynsmail/A 37654-2023 tillsynsbegäran mail.docx", "A 37654-2023")</f>
        <v/>
      </c>
    </row>
    <row r="891" ht="15" customHeight="1">
      <c r="A891" t="inlineStr">
        <is>
          <t>A 37887-2023</t>
        </is>
      </c>
      <c r="B891" s="1" t="n">
        <v>45160</v>
      </c>
      <c r="C891" s="1" t="n">
        <v>45706</v>
      </c>
      <c r="D891" t="inlineStr">
        <is>
          <t>DALARNAS LÄN</t>
        </is>
      </c>
      <c r="E891" t="inlineStr">
        <is>
          <t>ORSA</t>
        </is>
      </c>
      <c r="F891" t="inlineStr">
        <is>
          <t>Allmännings- och besparingsskogar</t>
        </is>
      </c>
      <c r="G891" t="n">
        <v>20.5</v>
      </c>
      <c r="H891" t="n">
        <v>1</v>
      </c>
      <c r="I891" t="n">
        <v>0</v>
      </c>
      <c r="J891" t="n">
        <v>1</v>
      </c>
      <c r="K891" t="n">
        <v>0</v>
      </c>
      <c r="L891" t="n">
        <v>0</v>
      </c>
      <c r="M891" t="n">
        <v>0</v>
      </c>
      <c r="N891" t="n">
        <v>0</v>
      </c>
      <c r="O891" t="n">
        <v>1</v>
      </c>
      <c r="P891" t="n">
        <v>0</v>
      </c>
      <c r="Q891" t="n">
        <v>1</v>
      </c>
      <c r="R891" s="2" t="inlineStr">
        <is>
          <t>Varglav</t>
        </is>
      </c>
      <c r="S891">
        <f>HYPERLINK("https://klasma.github.io/Logging_2034/artfynd/A 37887-2023 artfynd.xlsx", "A 37887-2023")</f>
        <v/>
      </c>
      <c r="T891">
        <f>HYPERLINK("https://klasma.github.io/Logging_2034/kartor/A 37887-2023 karta.png", "A 37887-2023")</f>
        <v/>
      </c>
      <c r="V891">
        <f>HYPERLINK("https://klasma.github.io/Logging_2034/klagomål/A 37887-2023 FSC-klagomål.docx", "A 37887-2023")</f>
        <v/>
      </c>
      <c r="W891">
        <f>HYPERLINK("https://klasma.github.io/Logging_2034/klagomålsmail/A 37887-2023 FSC-klagomål mail.docx", "A 37887-2023")</f>
        <v/>
      </c>
      <c r="X891">
        <f>HYPERLINK("https://klasma.github.io/Logging_2034/tillsyn/A 37887-2023 tillsynsbegäran.docx", "A 37887-2023")</f>
        <v/>
      </c>
      <c r="Y891">
        <f>HYPERLINK("https://klasma.github.io/Logging_2034/tillsynsmail/A 37887-2023 tillsynsbegäran mail.docx", "A 37887-2023")</f>
        <v/>
      </c>
    </row>
    <row r="892" ht="15" customHeight="1">
      <c r="A892" t="inlineStr">
        <is>
          <t>A 40288-2023</t>
        </is>
      </c>
      <c r="B892" s="1" t="n">
        <v>45169</v>
      </c>
      <c r="C892" s="1" t="n">
        <v>45706</v>
      </c>
      <c r="D892" t="inlineStr">
        <is>
          <t>DALARNAS LÄN</t>
        </is>
      </c>
      <c r="E892" t="inlineStr">
        <is>
          <t>ORSA</t>
        </is>
      </c>
      <c r="F892" t="inlineStr">
        <is>
          <t>Allmännings- och besparingsskogar</t>
        </is>
      </c>
      <c r="G892" t="n">
        <v>4.2</v>
      </c>
      <c r="H892" t="n">
        <v>0</v>
      </c>
      <c r="I892" t="n">
        <v>0</v>
      </c>
      <c r="J892" t="n">
        <v>1</v>
      </c>
      <c r="K892" t="n">
        <v>0</v>
      </c>
      <c r="L892" t="n">
        <v>0</v>
      </c>
      <c r="M892" t="n">
        <v>0</v>
      </c>
      <c r="N892" t="n">
        <v>0</v>
      </c>
      <c r="O892" t="n">
        <v>1</v>
      </c>
      <c r="P892" t="n">
        <v>0</v>
      </c>
      <c r="Q892" t="n">
        <v>1</v>
      </c>
      <c r="R892" s="2" t="inlineStr">
        <is>
          <t>Vedflamlav</t>
        </is>
      </c>
      <c r="S892">
        <f>HYPERLINK("https://klasma.github.io/Logging_2034/artfynd/A 40288-2023 artfynd.xlsx", "A 40288-2023")</f>
        <v/>
      </c>
      <c r="T892">
        <f>HYPERLINK("https://klasma.github.io/Logging_2034/kartor/A 40288-2023 karta.png", "A 40288-2023")</f>
        <v/>
      </c>
      <c r="V892">
        <f>HYPERLINK("https://klasma.github.io/Logging_2034/klagomål/A 40288-2023 FSC-klagomål.docx", "A 40288-2023")</f>
        <v/>
      </c>
      <c r="W892">
        <f>HYPERLINK("https://klasma.github.io/Logging_2034/klagomålsmail/A 40288-2023 FSC-klagomål mail.docx", "A 40288-2023")</f>
        <v/>
      </c>
      <c r="X892">
        <f>HYPERLINK("https://klasma.github.io/Logging_2034/tillsyn/A 40288-2023 tillsynsbegäran.docx", "A 40288-2023")</f>
        <v/>
      </c>
      <c r="Y892">
        <f>HYPERLINK("https://klasma.github.io/Logging_2034/tillsynsmail/A 40288-2023 tillsynsbegäran mail.docx", "A 40288-2023")</f>
        <v/>
      </c>
    </row>
    <row r="893" ht="15" customHeight="1">
      <c r="A893" t="inlineStr">
        <is>
          <t>A 41477-2023</t>
        </is>
      </c>
      <c r="B893" s="1" t="n">
        <v>45171</v>
      </c>
      <c r="C893" s="1" t="n">
        <v>45706</v>
      </c>
      <c r="D893" t="inlineStr">
        <is>
          <t>DALARNAS LÄN</t>
        </is>
      </c>
      <c r="E893" t="inlineStr">
        <is>
          <t>HEDEMORA</t>
        </is>
      </c>
      <c r="F893" t="inlineStr">
        <is>
          <t>Bergvik skog väst AB</t>
        </is>
      </c>
      <c r="G893" t="n">
        <v>9.1</v>
      </c>
      <c r="H893" t="n">
        <v>0</v>
      </c>
      <c r="I893" t="n">
        <v>1</v>
      </c>
      <c r="J893" t="n">
        <v>0</v>
      </c>
      <c r="K893" t="n">
        <v>0</v>
      </c>
      <c r="L893" t="n">
        <v>0</v>
      </c>
      <c r="M893" t="n">
        <v>0</v>
      </c>
      <c r="N893" t="n">
        <v>0</v>
      </c>
      <c r="O893" t="n">
        <v>0</v>
      </c>
      <c r="P893" t="n">
        <v>0</v>
      </c>
      <c r="Q893" t="n">
        <v>1</v>
      </c>
      <c r="R893" s="2" t="inlineStr">
        <is>
          <t>Ögonpyrola</t>
        </is>
      </c>
      <c r="S893">
        <f>HYPERLINK("https://klasma.github.io/Logging_2083/artfynd/A 41477-2023 artfynd.xlsx", "A 41477-2023")</f>
        <v/>
      </c>
      <c r="T893">
        <f>HYPERLINK("https://klasma.github.io/Logging_2083/kartor/A 41477-2023 karta.png", "A 41477-2023")</f>
        <v/>
      </c>
      <c r="V893">
        <f>HYPERLINK("https://klasma.github.io/Logging_2083/klagomål/A 41477-2023 FSC-klagomål.docx", "A 41477-2023")</f>
        <v/>
      </c>
      <c r="W893">
        <f>HYPERLINK("https://klasma.github.io/Logging_2083/klagomålsmail/A 41477-2023 FSC-klagomål mail.docx", "A 41477-2023")</f>
        <v/>
      </c>
      <c r="X893">
        <f>HYPERLINK("https://klasma.github.io/Logging_2083/tillsyn/A 41477-2023 tillsynsbegäran.docx", "A 41477-2023")</f>
        <v/>
      </c>
      <c r="Y893">
        <f>HYPERLINK("https://klasma.github.io/Logging_2083/tillsynsmail/A 41477-2023 tillsynsbegäran mail.docx", "A 41477-2023")</f>
        <v/>
      </c>
    </row>
    <row r="894" ht="15" customHeight="1">
      <c r="A894" t="inlineStr">
        <is>
          <t>A 41078-2023</t>
        </is>
      </c>
      <c r="B894" s="1" t="n">
        <v>45173</v>
      </c>
      <c r="C894" s="1" t="n">
        <v>45706</v>
      </c>
      <c r="D894" t="inlineStr">
        <is>
          <t>DALARNAS LÄN</t>
        </is>
      </c>
      <c r="E894" t="inlineStr">
        <is>
          <t>HEDEMORA</t>
        </is>
      </c>
      <c r="G894" t="n">
        <v>10.3</v>
      </c>
      <c r="H894" t="n">
        <v>0</v>
      </c>
      <c r="I894" t="n">
        <v>1</v>
      </c>
      <c r="J894" t="n">
        <v>0</v>
      </c>
      <c r="K894" t="n">
        <v>0</v>
      </c>
      <c r="L894" t="n">
        <v>0</v>
      </c>
      <c r="M894" t="n">
        <v>0</v>
      </c>
      <c r="N894" t="n">
        <v>0</v>
      </c>
      <c r="O894" t="n">
        <v>0</v>
      </c>
      <c r="P894" t="n">
        <v>0</v>
      </c>
      <c r="Q894" t="n">
        <v>1</v>
      </c>
      <c r="R894" s="2" t="inlineStr">
        <is>
          <t>Bronshjon</t>
        </is>
      </c>
      <c r="S894">
        <f>HYPERLINK("https://klasma.github.io/Logging_2083/artfynd/A 41078-2023 artfynd.xlsx", "A 41078-2023")</f>
        <v/>
      </c>
      <c r="T894">
        <f>HYPERLINK("https://klasma.github.io/Logging_2083/kartor/A 41078-2023 karta.png", "A 41078-2023")</f>
        <v/>
      </c>
      <c r="V894">
        <f>HYPERLINK("https://klasma.github.io/Logging_2083/klagomål/A 41078-2023 FSC-klagomål.docx", "A 41078-2023")</f>
        <v/>
      </c>
      <c r="W894">
        <f>HYPERLINK("https://klasma.github.io/Logging_2083/klagomålsmail/A 41078-2023 FSC-klagomål mail.docx", "A 41078-2023")</f>
        <v/>
      </c>
      <c r="X894">
        <f>HYPERLINK("https://klasma.github.io/Logging_2083/tillsyn/A 41078-2023 tillsynsbegäran.docx", "A 41078-2023")</f>
        <v/>
      </c>
      <c r="Y894">
        <f>HYPERLINK("https://klasma.github.io/Logging_2083/tillsynsmail/A 41078-2023 tillsynsbegäran mail.docx", "A 41078-2023")</f>
        <v/>
      </c>
    </row>
    <row r="895" ht="15" customHeight="1">
      <c r="A895" t="inlineStr">
        <is>
          <t>A 41888-2023</t>
        </is>
      </c>
      <c r="B895" s="1" t="n">
        <v>45176</v>
      </c>
      <c r="C895" s="1" t="n">
        <v>45706</v>
      </c>
      <c r="D895" t="inlineStr">
        <is>
          <t>DALARNAS LÄN</t>
        </is>
      </c>
      <c r="E895" t="inlineStr">
        <is>
          <t>AVESTA</t>
        </is>
      </c>
      <c r="F895" t="inlineStr">
        <is>
          <t>Sveaskog</t>
        </is>
      </c>
      <c r="G895" t="n">
        <v>7.3</v>
      </c>
      <c r="H895" t="n">
        <v>1</v>
      </c>
      <c r="I895" t="n">
        <v>0</v>
      </c>
      <c r="J895" t="n">
        <v>0</v>
      </c>
      <c r="K895" t="n">
        <v>0</v>
      </c>
      <c r="L895" t="n">
        <v>0</v>
      </c>
      <c r="M895" t="n">
        <v>0</v>
      </c>
      <c r="N895" t="n">
        <v>0</v>
      </c>
      <c r="O895" t="n">
        <v>0</v>
      </c>
      <c r="P895" t="n">
        <v>0</v>
      </c>
      <c r="Q895" t="n">
        <v>1</v>
      </c>
      <c r="R895" s="2" t="inlineStr">
        <is>
          <t>Mattlummer</t>
        </is>
      </c>
      <c r="S895">
        <f>HYPERLINK("https://klasma.github.io/Logging_2084/artfynd/A 41888-2023 artfynd.xlsx", "A 41888-2023")</f>
        <v/>
      </c>
      <c r="T895">
        <f>HYPERLINK("https://klasma.github.io/Logging_2084/kartor/A 41888-2023 karta.png", "A 41888-2023")</f>
        <v/>
      </c>
      <c r="V895">
        <f>HYPERLINK("https://klasma.github.io/Logging_2084/klagomål/A 41888-2023 FSC-klagomål.docx", "A 41888-2023")</f>
        <v/>
      </c>
      <c r="W895">
        <f>HYPERLINK("https://klasma.github.io/Logging_2084/klagomålsmail/A 41888-2023 FSC-klagomål mail.docx", "A 41888-2023")</f>
        <v/>
      </c>
      <c r="X895">
        <f>HYPERLINK("https://klasma.github.io/Logging_2084/tillsyn/A 41888-2023 tillsynsbegäran.docx", "A 41888-2023")</f>
        <v/>
      </c>
      <c r="Y895">
        <f>HYPERLINK("https://klasma.github.io/Logging_2084/tillsynsmail/A 41888-2023 tillsynsbegäran mail.docx", "A 41888-2023")</f>
        <v/>
      </c>
    </row>
    <row r="896" ht="15" customHeight="1">
      <c r="A896" t="inlineStr">
        <is>
          <t>A 42011-2023</t>
        </is>
      </c>
      <c r="B896" s="1" t="n">
        <v>45177</v>
      </c>
      <c r="C896" s="1" t="n">
        <v>45706</v>
      </c>
      <c r="D896" t="inlineStr">
        <is>
          <t>DALARNAS LÄN</t>
        </is>
      </c>
      <c r="E896" t="inlineStr">
        <is>
          <t>FALUN</t>
        </is>
      </c>
      <c r="F896" t="inlineStr">
        <is>
          <t>Bergvik skog väst AB</t>
        </is>
      </c>
      <c r="G896" t="n">
        <v>7.8</v>
      </c>
      <c r="H896" t="n">
        <v>1</v>
      </c>
      <c r="I896" t="n">
        <v>1</v>
      </c>
      <c r="J896" t="n">
        <v>0</v>
      </c>
      <c r="K896" t="n">
        <v>0</v>
      </c>
      <c r="L896" t="n">
        <v>0</v>
      </c>
      <c r="M896" t="n">
        <v>0</v>
      </c>
      <c r="N896" t="n">
        <v>0</v>
      </c>
      <c r="O896" t="n">
        <v>0</v>
      </c>
      <c r="P896" t="n">
        <v>0</v>
      </c>
      <c r="Q896" t="n">
        <v>1</v>
      </c>
      <c r="R896" s="2" t="inlineStr">
        <is>
          <t>Plattlummer</t>
        </is>
      </c>
      <c r="S896">
        <f>HYPERLINK("https://klasma.github.io/Logging_2080/artfynd/A 42011-2023 artfynd.xlsx", "A 42011-2023")</f>
        <v/>
      </c>
      <c r="T896">
        <f>HYPERLINK("https://klasma.github.io/Logging_2080/kartor/A 42011-2023 karta.png", "A 42011-2023")</f>
        <v/>
      </c>
      <c r="V896">
        <f>HYPERLINK("https://klasma.github.io/Logging_2080/klagomål/A 42011-2023 FSC-klagomål.docx", "A 42011-2023")</f>
        <v/>
      </c>
      <c r="W896">
        <f>HYPERLINK("https://klasma.github.io/Logging_2080/klagomålsmail/A 42011-2023 FSC-klagomål mail.docx", "A 42011-2023")</f>
        <v/>
      </c>
      <c r="X896">
        <f>HYPERLINK("https://klasma.github.io/Logging_2080/tillsyn/A 42011-2023 tillsynsbegäran.docx", "A 42011-2023")</f>
        <v/>
      </c>
      <c r="Y896">
        <f>HYPERLINK("https://klasma.github.io/Logging_2080/tillsynsmail/A 42011-2023 tillsynsbegäran mail.docx", "A 42011-2023")</f>
        <v/>
      </c>
    </row>
    <row r="897" ht="15" customHeight="1">
      <c r="A897" t="inlineStr">
        <is>
          <t>A 42040-2023</t>
        </is>
      </c>
      <c r="B897" s="1" t="n">
        <v>45177</v>
      </c>
      <c r="C897" s="1" t="n">
        <v>45706</v>
      </c>
      <c r="D897" t="inlineStr">
        <is>
          <t>DALARNAS LÄN</t>
        </is>
      </c>
      <c r="E897" t="inlineStr">
        <is>
          <t>BORLÄNGE</t>
        </is>
      </c>
      <c r="G897" t="n">
        <v>4.7</v>
      </c>
      <c r="H897" t="n">
        <v>0</v>
      </c>
      <c r="I897" t="n">
        <v>1</v>
      </c>
      <c r="J897" t="n">
        <v>0</v>
      </c>
      <c r="K897" t="n">
        <v>0</v>
      </c>
      <c r="L897" t="n">
        <v>0</v>
      </c>
      <c r="M897" t="n">
        <v>0</v>
      </c>
      <c r="N897" t="n">
        <v>0</v>
      </c>
      <c r="O897" t="n">
        <v>0</v>
      </c>
      <c r="P897" t="n">
        <v>0</v>
      </c>
      <c r="Q897" t="n">
        <v>1</v>
      </c>
      <c r="R897" s="2" t="inlineStr">
        <is>
          <t>Rödgul trumpetsvamp</t>
        </is>
      </c>
      <c r="S897">
        <f>HYPERLINK("https://klasma.github.io/Logging_2081/artfynd/A 42040-2023 artfynd.xlsx", "A 42040-2023")</f>
        <v/>
      </c>
      <c r="T897">
        <f>HYPERLINK("https://klasma.github.io/Logging_2081/kartor/A 42040-2023 karta.png", "A 42040-2023")</f>
        <v/>
      </c>
      <c r="U897">
        <f>HYPERLINK("https://klasma.github.io/Logging_2081/knärot/A 42040-2023 karta knärot.png", "A 42040-2023")</f>
        <v/>
      </c>
      <c r="V897">
        <f>HYPERLINK("https://klasma.github.io/Logging_2081/klagomål/A 42040-2023 FSC-klagomål.docx", "A 42040-2023")</f>
        <v/>
      </c>
      <c r="W897">
        <f>HYPERLINK("https://klasma.github.io/Logging_2081/klagomålsmail/A 42040-2023 FSC-klagomål mail.docx", "A 42040-2023")</f>
        <v/>
      </c>
      <c r="X897">
        <f>HYPERLINK("https://klasma.github.io/Logging_2081/tillsyn/A 42040-2023 tillsynsbegäran.docx", "A 42040-2023")</f>
        <v/>
      </c>
      <c r="Y897">
        <f>HYPERLINK("https://klasma.github.io/Logging_2081/tillsynsmail/A 42040-2023 tillsynsbegäran mail.docx", "A 42040-2023")</f>
        <v/>
      </c>
    </row>
    <row r="898" ht="15" customHeight="1">
      <c r="A898" t="inlineStr">
        <is>
          <t>A 42089-2023</t>
        </is>
      </c>
      <c r="B898" s="1" t="n">
        <v>45177</v>
      </c>
      <c r="C898" s="1" t="n">
        <v>45706</v>
      </c>
      <c r="D898" t="inlineStr">
        <is>
          <t>DALARNAS LÄN</t>
        </is>
      </c>
      <c r="E898" t="inlineStr">
        <is>
          <t>LUDVIKA</t>
        </is>
      </c>
      <c r="F898" t="inlineStr">
        <is>
          <t>Bergvik skog väst AB</t>
        </is>
      </c>
      <c r="G898" t="n">
        <v>2.5</v>
      </c>
      <c r="H898" t="n">
        <v>0</v>
      </c>
      <c r="I898" t="n">
        <v>0</v>
      </c>
      <c r="J898" t="n">
        <v>1</v>
      </c>
      <c r="K898" t="n">
        <v>0</v>
      </c>
      <c r="L898" t="n">
        <v>0</v>
      </c>
      <c r="M898" t="n">
        <v>0</v>
      </c>
      <c r="N898" t="n">
        <v>0</v>
      </c>
      <c r="O898" t="n">
        <v>1</v>
      </c>
      <c r="P898" t="n">
        <v>0</v>
      </c>
      <c r="Q898" t="n">
        <v>1</v>
      </c>
      <c r="R898" s="2" t="inlineStr">
        <is>
          <t>Ullticka</t>
        </is>
      </c>
      <c r="S898">
        <f>HYPERLINK("https://klasma.github.io/Logging_2085/artfynd/A 42089-2023 artfynd.xlsx", "A 42089-2023")</f>
        <v/>
      </c>
      <c r="T898">
        <f>HYPERLINK("https://klasma.github.io/Logging_2085/kartor/A 42089-2023 karta.png", "A 42089-2023")</f>
        <v/>
      </c>
      <c r="V898">
        <f>HYPERLINK("https://klasma.github.io/Logging_2085/klagomål/A 42089-2023 FSC-klagomål.docx", "A 42089-2023")</f>
        <v/>
      </c>
      <c r="W898">
        <f>HYPERLINK("https://klasma.github.io/Logging_2085/klagomålsmail/A 42089-2023 FSC-klagomål mail.docx", "A 42089-2023")</f>
        <v/>
      </c>
      <c r="X898">
        <f>HYPERLINK("https://klasma.github.io/Logging_2085/tillsyn/A 42089-2023 tillsynsbegäran.docx", "A 42089-2023")</f>
        <v/>
      </c>
      <c r="Y898">
        <f>HYPERLINK("https://klasma.github.io/Logging_2085/tillsynsmail/A 42089-2023 tillsynsbegäran mail.docx", "A 42089-2023")</f>
        <v/>
      </c>
    </row>
    <row r="899" ht="15" customHeight="1">
      <c r="A899" t="inlineStr">
        <is>
          <t>A 43454-2023</t>
        </is>
      </c>
      <c r="B899" s="1" t="n">
        <v>45184</v>
      </c>
      <c r="C899" s="1" t="n">
        <v>45706</v>
      </c>
      <c r="D899" t="inlineStr">
        <is>
          <t>DALARNAS LÄN</t>
        </is>
      </c>
      <c r="E899" t="inlineStr">
        <is>
          <t>AVESTA</t>
        </is>
      </c>
      <c r="G899" t="n">
        <v>3.3</v>
      </c>
      <c r="H899" t="n">
        <v>1</v>
      </c>
      <c r="I899" t="n">
        <v>0</v>
      </c>
      <c r="J899" t="n">
        <v>1</v>
      </c>
      <c r="K899" t="n">
        <v>0</v>
      </c>
      <c r="L899" t="n">
        <v>0</v>
      </c>
      <c r="M899" t="n">
        <v>0</v>
      </c>
      <c r="N899" t="n">
        <v>0</v>
      </c>
      <c r="O899" t="n">
        <v>1</v>
      </c>
      <c r="P899" t="n">
        <v>0</v>
      </c>
      <c r="Q899" t="n">
        <v>1</v>
      </c>
      <c r="R899" s="2" t="inlineStr">
        <is>
          <t>Havsörn</t>
        </is>
      </c>
      <c r="S899">
        <f>HYPERLINK("https://klasma.github.io/Logging_2084/artfynd/A 43454-2023 artfynd.xlsx", "A 43454-2023")</f>
        <v/>
      </c>
      <c r="T899">
        <f>HYPERLINK("https://klasma.github.io/Logging_2084/kartor/A 43454-2023 karta.png", "A 43454-2023")</f>
        <v/>
      </c>
      <c r="V899">
        <f>HYPERLINK("https://klasma.github.io/Logging_2084/klagomål/A 43454-2023 FSC-klagomål.docx", "A 43454-2023")</f>
        <v/>
      </c>
      <c r="W899">
        <f>HYPERLINK("https://klasma.github.io/Logging_2084/klagomålsmail/A 43454-2023 FSC-klagomål mail.docx", "A 43454-2023")</f>
        <v/>
      </c>
      <c r="X899">
        <f>HYPERLINK("https://klasma.github.io/Logging_2084/tillsyn/A 43454-2023 tillsynsbegäran.docx", "A 43454-2023")</f>
        <v/>
      </c>
      <c r="Y899">
        <f>HYPERLINK("https://klasma.github.io/Logging_2084/tillsynsmail/A 43454-2023 tillsynsbegäran mail.docx", "A 43454-2023")</f>
        <v/>
      </c>
      <c r="Z899">
        <f>HYPERLINK("https://klasma.github.io/Logging_2084/fåglar/A 43454-2023 prioriterade fågelarter.docx", "A 43454-2023")</f>
        <v/>
      </c>
    </row>
    <row r="900" ht="15" customHeight="1">
      <c r="A900" t="inlineStr">
        <is>
          <t>A 43473-2023</t>
        </is>
      </c>
      <c r="B900" s="1" t="n">
        <v>45184</v>
      </c>
      <c r="C900" s="1" t="n">
        <v>45706</v>
      </c>
      <c r="D900" t="inlineStr">
        <is>
          <t>DALARNAS LÄN</t>
        </is>
      </c>
      <c r="E900" t="inlineStr">
        <is>
          <t>ÄLVDALEN</t>
        </is>
      </c>
      <c r="G900" t="n">
        <v>33.5</v>
      </c>
      <c r="H900" t="n">
        <v>0</v>
      </c>
      <c r="I900" t="n">
        <v>0</v>
      </c>
      <c r="J900" t="n">
        <v>1</v>
      </c>
      <c r="K900" t="n">
        <v>0</v>
      </c>
      <c r="L900" t="n">
        <v>0</v>
      </c>
      <c r="M900" t="n">
        <v>0</v>
      </c>
      <c r="N900" t="n">
        <v>0</v>
      </c>
      <c r="O900" t="n">
        <v>1</v>
      </c>
      <c r="P900" t="n">
        <v>0</v>
      </c>
      <c r="Q900" t="n">
        <v>1</v>
      </c>
      <c r="R900" s="2" t="inlineStr">
        <is>
          <t>Vedflamlav</t>
        </is>
      </c>
      <c r="S900">
        <f>HYPERLINK("https://klasma.github.io/Logging_2039/artfynd/A 43473-2023 artfynd.xlsx", "A 43473-2023")</f>
        <v/>
      </c>
      <c r="T900">
        <f>HYPERLINK("https://klasma.github.io/Logging_2039/kartor/A 43473-2023 karta.png", "A 43473-2023")</f>
        <v/>
      </c>
      <c r="V900">
        <f>HYPERLINK("https://klasma.github.io/Logging_2039/klagomål/A 43473-2023 FSC-klagomål.docx", "A 43473-2023")</f>
        <v/>
      </c>
      <c r="W900">
        <f>HYPERLINK("https://klasma.github.io/Logging_2039/klagomålsmail/A 43473-2023 FSC-klagomål mail.docx", "A 43473-2023")</f>
        <v/>
      </c>
      <c r="X900">
        <f>HYPERLINK("https://klasma.github.io/Logging_2039/tillsyn/A 43473-2023 tillsynsbegäran.docx", "A 43473-2023")</f>
        <v/>
      </c>
      <c r="Y900">
        <f>HYPERLINK("https://klasma.github.io/Logging_2039/tillsynsmail/A 43473-2023 tillsynsbegäran mail.docx", "A 43473-2023")</f>
        <v/>
      </c>
    </row>
    <row r="901" ht="15" customHeight="1">
      <c r="A901" t="inlineStr">
        <is>
          <t>A 43773-2023</t>
        </is>
      </c>
      <c r="B901" s="1" t="n">
        <v>45187</v>
      </c>
      <c r="C901" s="1" t="n">
        <v>45706</v>
      </c>
      <c r="D901" t="inlineStr">
        <is>
          <t>DALARNAS LÄN</t>
        </is>
      </c>
      <c r="E901" t="inlineStr">
        <is>
          <t>AVESTA</t>
        </is>
      </c>
      <c r="G901" t="n">
        <v>8.199999999999999</v>
      </c>
      <c r="H901" t="n">
        <v>1</v>
      </c>
      <c r="I901" t="n">
        <v>0</v>
      </c>
      <c r="J901" t="n">
        <v>0</v>
      </c>
      <c r="K901" t="n">
        <v>1</v>
      </c>
      <c r="L901" t="n">
        <v>0</v>
      </c>
      <c r="M901" t="n">
        <v>0</v>
      </c>
      <c r="N901" t="n">
        <v>0</v>
      </c>
      <c r="O901" t="n">
        <v>1</v>
      </c>
      <c r="P901" t="n">
        <v>1</v>
      </c>
      <c r="Q901" t="n">
        <v>1</v>
      </c>
      <c r="R901" s="2" t="inlineStr">
        <is>
          <t>Knärot</t>
        </is>
      </c>
      <c r="S901">
        <f>HYPERLINK("https://klasma.github.io/Logging_2084/artfynd/A 43773-2023 artfynd.xlsx", "A 43773-2023")</f>
        <v/>
      </c>
      <c r="T901">
        <f>HYPERLINK("https://klasma.github.io/Logging_2084/kartor/A 43773-2023 karta.png", "A 43773-2023")</f>
        <v/>
      </c>
      <c r="U901">
        <f>HYPERLINK("https://klasma.github.io/Logging_2084/knärot/A 43773-2023 karta knärot.png", "A 43773-2023")</f>
        <v/>
      </c>
      <c r="V901">
        <f>HYPERLINK("https://klasma.github.io/Logging_2084/klagomål/A 43773-2023 FSC-klagomål.docx", "A 43773-2023")</f>
        <v/>
      </c>
      <c r="W901">
        <f>HYPERLINK("https://klasma.github.io/Logging_2084/klagomålsmail/A 43773-2023 FSC-klagomål mail.docx", "A 43773-2023")</f>
        <v/>
      </c>
      <c r="X901">
        <f>HYPERLINK("https://klasma.github.io/Logging_2084/tillsyn/A 43773-2023 tillsynsbegäran.docx", "A 43773-2023")</f>
        <v/>
      </c>
      <c r="Y901">
        <f>HYPERLINK("https://klasma.github.io/Logging_2084/tillsynsmail/A 43773-2023 tillsynsbegäran mail.docx", "A 43773-2023")</f>
        <v/>
      </c>
    </row>
    <row r="902" ht="15" customHeight="1">
      <c r="A902" t="inlineStr">
        <is>
          <t>A 44578-2023</t>
        </is>
      </c>
      <c r="B902" s="1" t="n">
        <v>45189</v>
      </c>
      <c r="C902" s="1" t="n">
        <v>45706</v>
      </c>
      <c r="D902" t="inlineStr">
        <is>
          <t>DALARNAS LÄN</t>
        </is>
      </c>
      <c r="E902" t="inlineStr">
        <is>
          <t>LUDVIKA</t>
        </is>
      </c>
      <c r="F902" t="inlineStr">
        <is>
          <t>Övriga Aktiebolag</t>
        </is>
      </c>
      <c r="G902" t="n">
        <v>12</v>
      </c>
      <c r="H902" t="n">
        <v>0</v>
      </c>
      <c r="I902" t="n">
        <v>0</v>
      </c>
      <c r="J902" t="n">
        <v>1</v>
      </c>
      <c r="K902" t="n">
        <v>0</v>
      </c>
      <c r="L902" t="n">
        <v>0</v>
      </c>
      <c r="M902" t="n">
        <v>0</v>
      </c>
      <c r="N902" t="n">
        <v>0</v>
      </c>
      <c r="O902" t="n">
        <v>1</v>
      </c>
      <c r="P902" t="n">
        <v>0</v>
      </c>
      <c r="Q902" t="n">
        <v>1</v>
      </c>
      <c r="R902" s="2" t="inlineStr">
        <is>
          <t>Dofttaggsvamp</t>
        </is>
      </c>
      <c r="S902">
        <f>HYPERLINK("https://klasma.github.io/Logging_2085/artfynd/A 44578-2023 artfynd.xlsx", "A 44578-2023")</f>
        <v/>
      </c>
      <c r="T902">
        <f>HYPERLINK("https://klasma.github.io/Logging_2085/kartor/A 44578-2023 karta.png", "A 44578-2023")</f>
        <v/>
      </c>
      <c r="V902">
        <f>HYPERLINK("https://klasma.github.io/Logging_2085/klagomål/A 44578-2023 FSC-klagomål.docx", "A 44578-2023")</f>
        <v/>
      </c>
      <c r="W902">
        <f>HYPERLINK("https://klasma.github.io/Logging_2085/klagomålsmail/A 44578-2023 FSC-klagomål mail.docx", "A 44578-2023")</f>
        <v/>
      </c>
      <c r="X902">
        <f>HYPERLINK("https://klasma.github.io/Logging_2085/tillsyn/A 44578-2023 tillsynsbegäran.docx", "A 44578-2023")</f>
        <v/>
      </c>
      <c r="Y902">
        <f>HYPERLINK("https://klasma.github.io/Logging_2085/tillsynsmail/A 44578-2023 tillsynsbegäran mail.docx", "A 44578-2023")</f>
        <v/>
      </c>
    </row>
    <row r="903" ht="15" customHeight="1">
      <c r="A903" t="inlineStr">
        <is>
          <t>A 44725-2023</t>
        </is>
      </c>
      <c r="B903" s="1" t="n">
        <v>45190</v>
      </c>
      <c r="C903" s="1" t="n">
        <v>45706</v>
      </c>
      <c r="D903" t="inlineStr">
        <is>
          <t>DALARNAS LÄN</t>
        </is>
      </c>
      <c r="E903" t="inlineStr">
        <is>
          <t>FALUN</t>
        </is>
      </c>
      <c r="F903" t="inlineStr">
        <is>
          <t>Bergvik skog väst AB</t>
        </is>
      </c>
      <c r="G903" t="n">
        <v>3.2</v>
      </c>
      <c r="H903" t="n">
        <v>1</v>
      </c>
      <c r="I903" t="n">
        <v>1</v>
      </c>
      <c r="J903" t="n">
        <v>0</v>
      </c>
      <c r="K903" t="n">
        <v>0</v>
      </c>
      <c r="L903" t="n">
        <v>0</v>
      </c>
      <c r="M903" t="n">
        <v>0</v>
      </c>
      <c r="N903" t="n">
        <v>0</v>
      </c>
      <c r="O903" t="n">
        <v>0</v>
      </c>
      <c r="P903" t="n">
        <v>0</v>
      </c>
      <c r="Q903" t="n">
        <v>1</v>
      </c>
      <c r="R903" s="2" t="inlineStr">
        <is>
          <t>Plattlummer</t>
        </is>
      </c>
      <c r="S903">
        <f>HYPERLINK("https://klasma.github.io/Logging_2080/artfynd/A 44725-2023 artfynd.xlsx", "A 44725-2023")</f>
        <v/>
      </c>
      <c r="T903">
        <f>HYPERLINK("https://klasma.github.io/Logging_2080/kartor/A 44725-2023 karta.png", "A 44725-2023")</f>
        <v/>
      </c>
      <c r="V903">
        <f>HYPERLINK("https://klasma.github.io/Logging_2080/klagomål/A 44725-2023 FSC-klagomål.docx", "A 44725-2023")</f>
        <v/>
      </c>
      <c r="W903">
        <f>HYPERLINK("https://klasma.github.io/Logging_2080/klagomålsmail/A 44725-2023 FSC-klagomål mail.docx", "A 44725-2023")</f>
        <v/>
      </c>
      <c r="X903">
        <f>HYPERLINK("https://klasma.github.io/Logging_2080/tillsyn/A 44725-2023 tillsynsbegäran.docx", "A 44725-2023")</f>
        <v/>
      </c>
      <c r="Y903">
        <f>HYPERLINK("https://klasma.github.io/Logging_2080/tillsynsmail/A 44725-2023 tillsynsbegäran mail.docx", "A 44725-2023")</f>
        <v/>
      </c>
    </row>
    <row r="904" ht="15" customHeight="1">
      <c r="A904" t="inlineStr">
        <is>
          <t>A 45166-2023</t>
        </is>
      </c>
      <c r="B904" s="1" t="n">
        <v>45191</v>
      </c>
      <c r="C904" s="1" t="n">
        <v>45706</v>
      </c>
      <c r="D904" t="inlineStr">
        <is>
          <t>DALARNAS LÄN</t>
        </is>
      </c>
      <c r="E904" t="inlineStr">
        <is>
          <t>FALUN</t>
        </is>
      </c>
      <c r="G904" t="n">
        <v>1.8</v>
      </c>
      <c r="H904" t="n">
        <v>0</v>
      </c>
      <c r="I904" t="n">
        <v>1</v>
      </c>
      <c r="J904" t="n">
        <v>0</v>
      </c>
      <c r="K904" t="n">
        <v>0</v>
      </c>
      <c r="L904" t="n">
        <v>0</v>
      </c>
      <c r="M904" t="n">
        <v>0</v>
      </c>
      <c r="N904" t="n">
        <v>0</v>
      </c>
      <c r="O904" t="n">
        <v>0</v>
      </c>
      <c r="P904" t="n">
        <v>0</v>
      </c>
      <c r="Q904" t="n">
        <v>1</v>
      </c>
      <c r="R904" s="2" t="inlineStr">
        <is>
          <t>Bronshjon</t>
        </is>
      </c>
      <c r="S904">
        <f>HYPERLINK("https://klasma.github.io/Logging_2080/artfynd/A 45166-2023 artfynd.xlsx", "A 45166-2023")</f>
        <v/>
      </c>
      <c r="T904">
        <f>HYPERLINK("https://klasma.github.io/Logging_2080/kartor/A 45166-2023 karta.png", "A 45166-2023")</f>
        <v/>
      </c>
      <c r="V904">
        <f>HYPERLINK("https://klasma.github.io/Logging_2080/klagomål/A 45166-2023 FSC-klagomål.docx", "A 45166-2023")</f>
        <v/>
      </c>
      <c r="W904">
        <f>HYPERLINK("https://klasma.github.io/Logging_2080/klagomålsmail/A 45166-2023 FSC-klagomål mail.docx", "A 45166-2023")</f>
        <v/>
      </c>
      <c r="X904">
        <f>HYPERLINK("https://klasma.github.io/Logging_2080/tillsyn/A 45166-2023 tillsynsbegäran.docx", "A 45166-2023")</f>
        <v/>
      </c>
      <c r="Y904">
        <f>HYPERLINK("https://klasma.github.io/Logging_2080/tillsynsmail/A 45166-2023 tillsynsbegäran mail.docx", "A 45166-2023")</f>
        <v/>
      </c>
    </row>
    <row r="905" ht="15" customHeight="1">
      <c r="A905" t="inlineStr">
        <is>
          <t>A 45516-2023</t>
        </is>
      </c>
      <c r="B905" s="1" t="n">
        <v>45194</v>
      </c>
      <c r="C905" s="1" t="n">
        <v>45706</v>
      </c>
      <c r="D905" t="inlineStr">
        <is>
          <t>DALARNAS LÄN</t>
        </is>
      </c>
      <c r="E905" t="inlineStr">
        <is>
          <t>RÄTTVIK</t>
        </is>
      </c>
      <c r="G905" t="n">
        <v>20.3</v>
      </c>
      <c r="H905" t="n">
        <v>0</v>
      </c>
      <c r="I905" t="n">
        <v>0</v>
      </c>
      <c r="J905" t="n">
        <v>1</v>
      </c>
      <c r="K905" t="n">
        <v>0</v>
      </c>
      <c r="L905" t="n">
        <v>0</v>
      </c>
      <c r="M905" t="n">
        <v>0</v>
      </c>
      <c r="N905" t="n">
        <v>0</v>
      </c>
      <c r="O905" t="n">
        <v>1</v>
      </c>
      <c r="P905" t="n">
        <v>0</v>
      </c>
      <c r="Q905" t="n">
        <v>1</v>
      </c>
      <c r="R905" s="2" t="inlineStr">
        <is>
          <t>Mörk kolflarnlav</t>
        </is>
      </c>
      <c r="S905">
        <f>HYPERLINK("https://klasma.github.io/Logging_2031/artfynd/A 45516-2023 artfynd.xlsx", "A 45516-2023")</f>
        <v/>
      </c>
      <c r="T905">
        <f>HYPERLINK("https://klasma.github.io/Logging_2031/kartor/A 45516-2023 karta.png", "A 45516-2023")</f>
        <v/>
      </c>
      <c r="V905">
        <f>HYPERLINK("https://klasma.github.io/Logging_2031/klagomål/A 45516-2023 FSC-klagomål.docx", "A 45516-2023")</f>
        <v/>
      </c>
      <c r="W905">
        <f>HYPERLINK("https://klasma.github.io/Logging_2031/klagomålsmail/A 45516-2023 FSC-klagomål mail.docx", "A 45516-2023")</f>
        <v/>
      </c>
      <c r="X905">
        <f>HYPERLINK("https://klasma.github.io/Logging_2031/tillsyn/A 45516-2023 tillsynsbegäran.docx", "A 45516-2023")</f>
        <v/>
      </c>
      <c r="Y905">
        <f>HYPERLINK("https://klasma.github.io/Logging_2031/tillsynsmail/A 45516-2023 tillsynsbegäran mail.docx", "A 45516-2023")</f>
        <v/>
      </c>
    </row>
    <row r="906" ht="15" customHeight="1">
      <c r="A906" t="inlineStr">
        <is>
          <t>A 45524-2023</t>
        </is>
      </c>
      <c r="B906" s="1" t="n">
        <v>45194</v>
      </c>
      <c r="C906" s="1" t="n">
        <v>45706</v>
      </c>
      <c r="D906" t="inlineStr">
        <is>
          <t>DALARNAS LÄN</t>
        </is>
      </c>
      <c r="E906" t="inlineStr">
        <is>
          <t>RÄTTVIK</t>
        </is>
      </c>
      <c r="G906" t="n">
        <v>16.1</v>
      </c>
      <c r="H906" t="n">
        <v>0</v>
      </c>
      <c r="I906" t="n">
        <v>0</v>
      </c>
      <c r="J906" t="n">
        <v>1</v>
      </c>
      <c r="K906" t="n">
        <v>0</v>
      </c>
      <c r="L906" t="n">
        <v>0</v>
      </c>
      <c r="M906" t="n">
        <v>0</v>
      </c>
      <c r="N906" t="n">
        <v>0</v>
      </c>
      <c r="O906" t="n">
        <v>1</v>
      </c>
      <c r="P906" t="n">
        <v>0</v>
      </c>
      <c r="Q906" t="n">
        <v>1</v>
      </c>
      <c r="R906" s="2" t="inlineStr">
        <is>
          <t>Tallticka</t>
        </is>
      </c>
      <c r="S906">
        <f>HYPERLINK("https://klasma.github.io/Logging_2031/artfynd/A 45524-2023 artfynd.xlsx", "A 45524-2023")</f>
        <v/>
      </c>
      <c r="T906">
        <f>HYPERLINK("https://klasma.github.io/Logging_2031/kartor/A 45524-2023 karta.png", "A 45524-2023")</f>
        <v/>
      </c>
      <c r="V906">
        <f>HYPERLINK("https://klasma.github.io/Logging_2031/klagomål/A 45524-2023 FSC-klagomål.docx", "A 45524-2023")</f>
        <v/>
      </c>
      <c r="W906">
        <f>HYPERLINK("https://klasma.github.io/Logging_2031/klagomålsmail/A 45524-2023 FSC-klagomål mail.docx", "A 45524-2023")</f>
        <v/>
      </c>
      <c r="X906">
        <f>HYPERLINK("https://klasma.github.io/Logging_2031/tillsyn/A 45524-2023 tillsynsbegäran.docx", "A 45524-2023")</f>
        <v/>
      </c>
      <c r="Y906">
        <f>HYPERLINK("https://klasma.github.io/Logging_2031/tillsynsmail/A 45524-2023 tillsynsbegäran mail.docx", "A 45524-2023")</f>
        <v/>
      </c>
    </row>
    <row r="907" ht="15" customHeight="1">
      <c r="A907" t="inlineStr">
        <is>
          <t>A 46179-2023</t>
        </is>
      </c>
      <c r="B907" s="1" t="n">
        <v>45196</v>
      </c>
      <c r="C907" s="1" t="n">
        <v>45706</v>
      </c>
      <c r="D907" t="inlineStr">
        <is>
          <t>DALARNAS LÄN</t>
        </is>
      </c>
      <c r="E907" t="inlineStr">
        <is>
          <t>ORSA</t>
        </is>
      </c>
      <c r="G907" t="n">
        <v>4.1</v>
      </c>
      <c r="H907" t="n">
        <v>0</v>
      </c>
      <c r="I907" t="n">
        <v>1</v>
      </c>
      <c r="J907" t="n">
        <v>0</v>
      </c>
      <c r="K907" t="n">
        <v>0</v>
      </c>
      <c r="L907" t="n">
        <v>0</v>
      </c>
      <c r="M907" t="n">
        <v>0</v>
      </c>
      <c r="N907" t="n">
        <v>0</v>
      </c>
      <c r="O907" t="n">
        <v>0</v>
      </c>
      <c r="P907" t="n">
        <v>0</v>
      </c>
      <c r="Q907" t="n">
        <v>1</v>
      </c>
      <c r="R907" s="2" t="inlineStr">
        <is>
          <t>Dropptaggsvamp</t>
        </is>
      </c>
      <c r="S907">
        <f>HYPERLINK("https://klasma.github.io/Logging_2034/artfynd/A 46179-2023 artfynd.xlsx", "A 46179-2023")</f>
        <v/>
      </c>
      <c r="T907">
        <f>HYPERLINK("https://klasma.github.io/Logging_2034/kartor/A 46179-2023 karta.png", "A 46179-2023")</f>
        <v/>
      </c>
      <c r="V907">
        <f>HYPERLINK("https://klasma.github.io/Logging_2034/klagomål/A 46179-2023 FSC-klagomål.docx", "A 46179-2023")</f>
        <v/>
      </c>
      <c r="W907">
        <f>HYPERLINK("https://klasma.github.io/Logging_2034/klagomålsmail/A 46179-2023 FSC-klagomål mail.docx", "A 46179-2023")</f>
        <v/>
      </c>
      <c r="X907">
        <f>HYPERLINK("https://klasma.github.io/Logging_2034/tillsyn/A 46179-2023 tillsynsbegäran.docx", "A 46179-2023")</f>
        <v/>
      </c>
      <c r="Y907">
        <f>HYPERLINK("https://klasma.github.io/Logging_2034/tillsynsmail/A 46179-2023 tillsynsbegäran mail.docx", "A 46179-2023")</f>
        <v/>
      </c>
    </row>
    <row r="908" ht="15" customHeight="1">
      <c r="A908" t="inlineStr">
        <is>
          <t>A 46398-2023</t>
        </is>
      </c>
      <c r="B908" s="1" t="n">
        <v>45197</v>
      </c>
      <c r="C908" s="1" t="n">
        <v>45706</v>
      </c>
      <c r="D908" t="inlineStr">
        <is>
          <t>DALARNAS LÄN</t>
        </is>
      </c>
      <c r="E908" t="inlineStr">
        <is>
          <t>LUDVIKA</t>
        </is>
      </c>
      <c r="G908" t="n">
        <v>2.1</v>
      </c>
      <c r="H908" t="n">
        <v>1</v>
      </c>
      <c r="I908" t="n">
        <v>0</v>
      </c>
      <c r="J908" t="n">
        <v>0</v>
      </c>
      <c r="K908" t="n">
        <v>1</v>
      </c>
      <c r="L908" t="n">
        <v>0</v>
      </c>
      <c r="M908" t="n">
        <v>0</v>
      </c>
      <c r="N908" t="n">
        <v>0</v>
      </c>
      <c r="O908" t="n">
        <v>1</v>
      </c>
      <c r="P908" t="n">
        <v>1</v>
      </c>
      <c r="Q908" t="n">
        <v>1</v>
      </c>
      <c r="R908" s="2" t="inlineStr">
        <is>
          <t>Knärot</t>
        </is>
      </c>
      <c r="S908">
        <f>HYPERLINK("https://klasma.github.io/Logging_2085/artfynd/A 46398-2023 artfynd.xlsx", "A 46398-2023")</f>
        <v/>
      </c>
      <c r="T908">
        <f>HYPERLINK("https://klasma.github.io/Logging_2085/kartor/A 46398-2023 karta.png", "A 46398-2023")</f>
        <v/>
      </c>
      <c r="U908">
        <f>HYPERLINK("https://klasma.github.io/Logging_2085/knärot/A 46398-2023 karta knärot.png", "A 46398-2023")</f>
        <v/>
      </c>
      <c r="V908">
        <f>HYPERLINK("https://klasma.github.io/Logging_2085/klagomål/A 46398-2023 FSC-klagomål.docx", "A 46398-2023")</f>
        <v/>
      </c>
      <c r="W908">
        <f>HYPERLINK("https://klasma.github.io/Logging_2085/klagomålsmail/A 46398-2023 FSC-klagomål mail.docx", "A 46398-2023")</f>
        <v/>
      </c>
      <c r="X908">
        <f>HYPERLINK("https://klasma.github.io/Logging_2085/tillsyn/A 46398-2023 tillsynsbegäran.docx", "A 46398-2023")</f>
        <v/>
      </c>
      <c r="Y908">
        <f>HYPERLINK("https://klasma.github.io/Logging_2085/tillsynsmail/A 46398-2023 tillsynsbegäran mail.docx", "A 46398-2023")</f>
        <v/>
      </c>
    </row>
    <row r="909" ht="15" customHeight="1">
      <c r="A909" t="inlineStr">
        <is>
          <t>A 46775-2023</t>
        </is>
      </c>
      <c r="B909" s="1" t="n">
        <v>45198</v>
      </c>
      <c r="C909" s="1" t="n">
        <v>45706</v>
      </c>
      <c r="D909" t="inlineStr">
        <is>
          <t>DALARNAS LÄN</t>
        </is>
      </c>
      <c r="E909" t="inlineStr">
        <is>
          <t>SMEDJEBACKEN</t>
        </is>
      </c>
      <c r="F909" t="inlineStr">
        <is>
          <t>Bergvik skog väst AB</t>
        </is>
      </c>
      <c r="G909" t="n">
        <v>1</v>
      </c>
      <c r="H909" t="n">
        <v>0</v>
      </c>
      <c r="I909" t="n">
        <v>1</v>
      </c>
      <c r="J909" t="n">
        <v>0</v>
      </c>
      <c r="K909" t="n">
        <v>0</v>
      </c>
      <c r="L909" t="n">
        <v>0</v>
      </c>
      <c r="M909" t="n">
        <v>0</v>
      </c>
      <c r="N909" t="n">
        <v>0</v>
      </c>
      <c r="O909" t="n">
        <v>0</v>
      </c>
      <c r="P909" t="n">
        <v>0</v>
      </c>
      <c r="Q909" t="n">
        <v>1</v>
      </c>
      <c r="R909" s="2" t="inlineStr">
        <is>
          <t>Tibast</t>
        </is>
      </c>
      <c r="S909">
        <f>HYPERLINK("https://klasma.github.io/Logging_2061/artfynd/A 46775-2023 artfynd.xlsx", "A 46775-2023")</f>
        <v/>
      </c>
      <c r="T909">
        <f>HYPERLINK("https://klasma.github.io/Logging_2061/kartor/A 46775-2023 karta.png", "A 46775-2023")</f>
        <v/>
      </c>
      <c r="V909">
        <f>HYPERLINK("https://klasma.github.io/Logging_2061/klagomål/A 46775-2023 FSC-klagomål.docx", "A 46775-2023")</f>
        <v/>
      </c>
      <c r="W909">
        <f>HYPERLINK("https://klasma.github.io/Logging_2061/klagomålsmail/A 46775-2023 FSC-klagomål mail.docx", "A 46775-2023")</f>
        <v/>
      </c>
      <c r="X909">
        <f>HYPERLINK("https://klasma.github.io/Logging_2061/tillsyn/A 46775-2023 tillsynsbegäran.docx", "A 46775-2023")</f>
        <v/>
      </c>
      <c r="Y909">
        <f>HYPERLINK("https://klasma.github.io/Logging_2061/tillsynsmail/A 46775-2023 tillsynsbegäran mail.docx", "A 46775-2023")</f>
        <v/>
      </c>
    </row>
    <row r="910" ht="15" customHeight="1">
      <c r="A910" t="inlineStr">
        <is>
          <t>A 46752-2023</t>
        </is>
      </c>
      <c r="B910" s="1" t="n">
        <v>45198</v>
      </c>
      <c r="C910" s="1" t="n">
        <v>45706</v>
      </c>
      <c r="D910" t="inlineStr">
        <is>
          <t>DALARNAS LÄN</t>
        </is>
      </c>
      <c r="E910" t="inlineStr">
        <is>
          <t>SMEDJEBACKEN</t>
        </is>
      </c>
      <c r="F910" t="inlineStr">
        <is>
          <t>Bergvik skog väst AB</t>
        </is>
      </c>
      <c r="G910" t="n">
        <v>2.4</v>
      </c>
      <c r="H910" t="n">
        <v>0</v>
      </c>
      <c r="I910" t="n">
        <v>1</v>
      </c>
      <c r="J910" t="n">
        <v>0</v>
      </c>
      <c r="K910" t="n">
        <v>0</v>
      </c>
      <c r="L910" t="n">
        <v>0</v>
      </c>
      <c r="M910" t="n">
        <v>0</v>
      </c>
      <c r="N910" t="n">
        <v>0</v>
      </c>
      <c r="O910" t="n">
        <v>0</v>
      </c>
      <c r="P910" t="n">
        <v>0</v>
      </c>
      <c r="Q910" t="n">
        <v>1</v>
      </c>
      <c r="R910" s="2" t="inlineStr">
        <is>
          <t>Tibast</t>
        </is>
      </c>
      <c r="S910">
        <f>HYPERLINK("https://klasma.github.io/Logging_2061/artfynd/A 46752-2023 artfynd.xlsx", "A 46752-2023")</f>
        <v/>
      </c>
      <c r="T910">
        <f>HYPERLINK("https://klasma.github.io/Logging_2061/kartor/A 46752-2023 karta.png", "A 46752-2023")</f>
        <v/>
      </c>
      <c r="V910">
        <f>HYPERLINK("https://klasma.github.io/Logging_2061/klagomål/A 46752-2023 FSC-klagomål.docx", "A 46752-2023")</f>
        <v/>
      </c>
      <c r="W910">
        <f>HYPERLINK("https://klasma.github.io/Logging_2061/klagomålsmail/A 46752-2023 FSC-klagomål mail.docx", "A 46752-2023")</f>
        <v/>
      </c>
      <c r="X910">
        <f>HYPERLINK("https://klasma.github.io/Logging_2061/tillsyn/A 46752-2023 tillsynsbegäran.docx", "A 46752-2023")</f>
        <v/>
      </c>
      <c r="Y910">
        <f>HYPERLINK("https://klasma.github.io/Logging_2061/tillsynsmail/A 46752-2023 tillsynsbegäran mail.docx", "A 46752-2023")</f>
        <v/>
      </c>
    </row>
    <row r="911" ht="15" customHeight="1">
      <c r="A911" t="inlineStr">
        <is>
          <t>A 46779-2023</t>
        </is>
      </c>
      <c r="B911" s="1" t="n">
        <v>45198</v>
      </c>
      <c r="C911" s="1" t="n">
        <v>45706</v>
      </c>
      <c r="D911" t="inlineStr">
        <is>
          <t>DALARNAS LÄN</t>
        </is>
      </c>
      <c r="E911" t="inlineStr">
        <is>
          <t>SMEDJEBACKEN</t>
        </is>
      </c>
      <c r="F911" t="inlineStr">
        <is>
          <t>Bergvik skog väst AB</t>
        </is>
      </c>
      <c r="G911" t="n">
        <v>14.2</v>
      </c>
      <c r="H911" t="n">
        <v>1</v>
      </c>
      <c r="I911" t="n">
        <v>0</v>
      </c>
      <c r="J911" t="n">
        <v>0</v>
      </c>
      <c r="K911" t="n">
        <v>1</v>
      </c>
      <c r="L911" t="n">
        <v>0</v>
      </c>
      <c r="M911" t="n">
        <v>0</v>
      </c>
      <c r="N911" t="n">
        <v>0</v>
      </c>
      <c r="O911" t="n">
        <v>1</v>
      </c>
      <c r="P911" t="n">
        <v>1</v>
      </c>
      <c r="Q911" t="n">
        <v>1</v>
      </c>
      <c r="R911" s="2" t="inlineStr">
        <is>
          <t>Väddnätfjäril</t>
        </is>
      </c>
      <c r="S911">
        <f>HYPERLINK("https://klasma.github.io/Logging_2061/artfynd/A 46779-2023 artfynd.xlsx", "A 46779-2023")</f>
        <v/>
      </c>
      <c r="T911">
        <f>HYPERLINK("https://klasma.github.io/Logging_2061/kartor/A 46779-2023 karta.png", "A 46779-2023")</f>
        <v/>
      </c>
      <c r="V911">
        <f>HYPERLINK("https://klasma.github.io/Logging_2061/klagomål/A 46779-2023 FSC-klagomål.docx", "A 46779-2023")</f>
        <v/>
      </c>
      <c r="W911">
        <f>HYPERLINK("https://klasma.github.io/Logging_2061/klagomålsmail/A 46779-2023 FSC-klagomål mail.docx", "A 46779-2023")</f>
        <v/>
      </c>
      <c r="X911">
        <f>HYPERLINK("https://klasma.github.io/Logging_2061/tillsyn/A 46779-2023 tillsynsbegäran.docx", "A 46779-2023")</f>
        <v/>
      </c>
      <c r="Y911">
        <f>HYPERLINK("https://klasma.github.io/Logging_2061/tillsynsmail/A 46779-2023 tillsynsbegäran mail.docx", "A 46779-2023")</f>
        <v/>
      </c>
    </row>
    <row r="912" ht="15" customHeight="1">
      <c r="A912" t="inlineStr">
        <is>
          <t>A 46963-2023</t>
        </is>
      </c>
      <c r="B912" s="1" t="n">
        <v>45201</v>
      </c>
      <c r="C912" s="1" t="n">
        <v>45706</v>
      </c>
      <c r="D912" t="inlineStr">
        <is>
          <t>DALARNAS LÄN</t>
        </is>
      </c>
      <c r="E912" t="inlineStr">
        <is>
          <t>FALUN</t>
        </is>
      </c>
      <c r="G912" t="n">
        <v>13.6</v>
      </c>
      <c r="H912" t="n">
        <v>1</v>
      </c>
      <c r="I912" t="n">
        <v>0</v>
      </c>
      <c r="J912" t="n">
        <v>1</v>
      </c>
      <c r="K912" t="n">
        <v>0</v>
      </c>
      <c r="L912" t="n">
        <v>0</v>
      </c>
      <c r="M912" t="n">
        <v>0</v>
      </c>
      <c r="N912" t="n">
        <v>0</v>
      </c>
      <c r="O912" t="n">
        <v>1</v>
      </c>
      <c r="P912" t="n">
        <v>0</v>
      </c>
      <c r="Q912" t="n">
        <v>1</v>
      </c>
      <c r="R912" s="2" t="inlineStr">
        <is>
          <t>Talltita</t>
        </is>
      </c>
      <c r="S912">
        <f>HYPERLINK("https://klasma.github.io/Logging_2080/artfynd/A 46963-2023 artfynd.xlsx", "A 46963-2023")</f>
        <v/>
      </c>
      <c r="T912">
        <f>HYPERLINK("https://klasma.github.io/Logging_2080/kartor/A 46963-2023 karta.png", "A 46963-2023")</f>
        <v/>
      </c>
      <c r="V912">
        <f>HYPERLINK("https://klasma.github.io/Logging_2080/klagomål/A 46963-2023 FSC-klagomål.docx", "A 46963-2023")</f>
        <v/>
      </c>
      <c r="W912">
        <f>HYPERLINK("https://klasma.github.io/Logging_2080/klagomålsmail/A 46963-2023 FSC-klagomål mail.docx", "A 46963-2023")</f>
        <v/>
      </c>
      <c r="X912">
        <f>HYPERLINK("https://klasma.github.io/Logging_2080/tillsyn/A 46963-2023 tillsynsbegäran.docx", "A 46963-2023")</f>
        <v/>
      </c>
      <c r="Y912">
        <f>HYPERLINK("https://klasma.github.io/Logging_2080/tillsynsmail/A 46963-2023 tillsynsbegäran mail.docx", "A 46963-2023")</f>
        <v/>
      </c>
      <c r="Z912">
        <f>HYPERLINK("https://klasma.github.io/Logging_2080/fåglar/A 46963-2023 prioriterade fågelarter.docx", "A 46963-2023")</f>
        <v/>
      </c>
    </row>
    <row r="913" ht="15" customHeight="1">
      <c r="A913" t="inlineStr">
        <is>
          <t>A 47211-2023</t>
        </is>
      </c>
      <c r="B913" s="1" t="n">
        <v>45202</v>
      </c>
      <c r="C913" s="1" t="n">
        <v>45706</v>
      </c>
      <c r="D913" t="inlineStr">
        <is>
          <t>DALARNAS LÄN</t>
        </is>
      </c>
      <c r="E913" t="inlineStr">
        <is>
          <t>BORLÄNGE</t>
        </is>
      </c>
      <c r="F913" t="inlineStr">
        <is>
          <t>Bergvik skog väst AB</t>
        </is>
      </c>
      <c r="G913" t="n">
        <v>7.4</v>
      </c>
      <c r="H913" t="n">
        <v>1</v>
      </c>
      <c r="I913" t="n">
        <v>0</v>
      </c>
      <c r="J913" t="n">
        <v>0</v>
      </c>
      <c r="K913" t="n">
        <v>1</v>
      </c>
      <c r="L913" t="n">
        <v>0</v>
      </c>
      <c r="M913" t="n">
        <v>0</v>
      </c>
      <c r="N913" t="n">
        <v>0</v>
      </c>
      <c r="O913" t="n">
        <v>1</v>
      </c>
      <c r="P913" t="n">
        <v>1</v>
      </c>
      <c r="Q913" t="n">
        <v>1</v>
      </c>
      <c r="R913" s="2" t="inlineStr">
        <is>
          <t>Knärot</t>
        </is>
      </c>
      <c r="S913">
        <f>HYPERLINK("https://klasma.github.io/Logging_2081/artfynd/A 47211-2023 artfynd.xlsx", "A 47211-2023")</f>
        <v/>
      </c>
      <c r="T913">
        <f>HYPERLINK("https://klasma.github.io/Logging_2081/kartor/A 47211-2023 karta.png", "A 47211-2023")</f>
        <v/>
      </c>
      <c r="U913">
        <f>HYPERLINK("https://klasma.github.io/Logging_2081/knärot/A 47211-2023 karta knärot.png", "A 47211-2023")</f>
        <v/>
      </c>
      <c r="V913">
        <f>HYPERLINK("https://klasma.github.io/Logging_2081/klagomål/A 47211-2023 FSC-klagomål.docx", "A 47211-2023")</f>
        <v/>
      </c>
      <c r="W913">
        <f>HYPERLINK("https://klasma.github.io/Logging_2081/klagomålsmail/A 47211-2023 FSC-klagomål mail.docx", "A 47211-2023")</f>
        <v/>
      </c>
      <c r="X913">
        <f>HYPERLINK("https://klasma.github.io/Logging_2081/tillsyn/A 47211-2023 tillsynsbegäran.docx", "A 47211-2023")</f>
        <v/>
      </c>
      <c r="Y913">
        <f>HYPERLINK("https://klasma.github.io/Logging_2081/tillsynsmail/A 47211-2023 tillsynsbegäran mail.docx", "A 47211-2023")</f>
        <v/>
      </c>
    </row>
    <row r="914" ht="15" customHeight="1">
      <c r="A914" t="inlineStr">
        <is>
          <t>A 47803-2023</t>
        </is>
      </c>
      <c r="B914" s="1" t="n">
        <v>45204</v>
      </c>
      <c r="C914" s="1" t="n">
        <v>45706</v>
      </c>
      <c r="D914" t="inlineStr">
        <is>
          <t>DALARNAS LÄN</t>
        </is>
      </c>
      <c r="E914" t="inlineStr">
        <is>
          <t>LEKSAND</t>
        </is>
      </c>
      <c r="G914" t="n">
        <v>2</v>
      </c>
      <c r="H914" t="n">
        <v>1</v>
      </c>
      <c r="I914" t="n">
        <v>0</v>
      </c>
      <c r="J914" t="n">
        <v>0</v>
      </c>
      <c r="K914" t="n">
        <v>1</v>
      </c>
      <c r="L914" t="n">
        <v>0</v>
      </c>
      <c r="M914" t="n">
        <v>0</v>
      </c>
      <c r="N914" t="n">
        <v>0</v>
      </c>
      <c r="O914" t="n">
        <v>1</v>
      </c>
      <c r="P914" t="n">
        <v>1</v>
      </c>
      <c r="Q914" t="n">
        <v>1</v>
      </c>
      <c r="R914" s="2" t="inlineStr">
        <is>
          <t>Lappuggla</t>
        </is>
      </c>
      <c r="S914">
        <f>HYPERLINK("https://klasma.github.io/Logging_2029/artfynd/A 47803-2023 artfynd.xlsx", "A 47803-2023")</f>
        <v/>
      </c>
      <c r="T914">
        <f>HYPERLINK("https://klasma.github.io/Logging_2029/kartor/A 47803-2023 karta.png", "A 47803-2023")</f>
        <v/>
      </c>
      <c r="V914">
        <f>HYPERLINK("https://klasma.github.io/Logging_2029/klagomål/A 47803-2023 FSC-klagomål.docx", "A 47803-2023")</f>
        <v/>
      </c>
      <c r="W914">
        <f>HYPERLINK("https://klasma.github.io/Logging_2029/klagomålsmail/A 47803-2023 FSC-klagomål mail.docx", "A 47803-2023")</f>
        <v/>
      </c>
      <c r="X914">
        <f>HYPERLINK("https://klasma.github.io/Logging_2029/tillsyn/A 47803-2023 tillsynsbegäran.docx", "A 47803-2023")</f>
        <v/>
      </c>
      <c r="Y914">
        <f>HYPERLINK("https://klasma.github.io/Logging_2029/tillsynsmail/A 47803-2023 tillsynsbegäran mail.docx", "A 47803-2023")</f>
        <v/>
      </c>
      <c r="Z914">
        <f>HYPERLINK("https://klasma.github.io/Logging_2029/fåglar/A 47803-2023 prioriterade fågelarter.docx", "A 47803-2023")</f>
        <v/>
      </c>
    </row>
    <row r="915" ht="15" customHeight="1">
      <c r="A915" t="inlineStr">
        <is>
          <t>A 48452-2023</t>
        </is>
      </c>
      <c r="B915" s="1" t="n">
        <v>45206</v>
      </c>
      <c r="C915" s="1" t="n">
        <v>45706</v>
      </c>
      <c r="D915" t="inlineStr">
        <is>
          <t>DALARNAS LÄN</t>
        </is>
      </c>
      <c r="E915" t="inlineStr">
        <is>
          <t>ORSA</t>
        </is>
      </c>
      <c r="G915" t="n">
        <v>1.5</v>
      </c>
      <c r="H915" t="n">
        <v>0</v>
      </c>
      <c r="I915" t="n">
        <v>0</v>
      </c>
      <c r="J915" t="n">
        <v>1</v>
      </c>
      <c r="K915" t="n">
        <v>0</v>
      </c>
      <c r="L915" t="n">
        <v>0</v>
      </c>
      <c r="M915" t="n">
        <v>0</v>
      </c>
      <c r="N915" t="n">
        <v>0</v>
      </c>
      <c r="O915" t="n">
        <v>1</v>
      </c>
      <c r="P915" t="n">
        <v>0</v>
      </c>
      <c r="Q915" t="n">
        <v>1</v>
      </c>
      <c r="R915" s="2" t="inlineStr">
        <is>
          <t>Motaggsvamp</t>
        </is>
      </c>
      <c r="S915">
        <f>HYPERLINK("https://klasma.github.io/Logging_2034/artfynd/A 48452-2023 artfynd.xlsx", "A 48452-2023")</f>
        <v/>
      </c>
      <c r="T915">
        <f>HYPERLINK("https://klasma.github.io/Logging_2034/kartor/A 48452-2023 karta.png", "A 48452-2023")</f>
        <v/>
      </c>
      <c r="V915">
        <f>HYPERLINK("https://klasma.github.io/Logging_2034/klagomål/A 48452-2023 FSC-klagomål.docx", "A 48452-2023")</f>
        <v/>
      </c>
      <c r="W915">
        <f>HYPERLINK("https://klasma.github.io/Logging_2034/klagomålsmail/A 48452-2023 FSC-klagomål mail.docx", "A 48452-2023")</f>
        <v/>
      </c>
      <c r="X915">
        <f>HYPERLINK("https://klasma.github.io/Logging_2034/tillsyn/A 48452-2023 tillsynsbegäran.docx", "A 48452-2023")</f>
        <v/>
      </c>
      <c r="Y915">
        <f>HYPERLINK("https://klasma.github.io/Logging_2034/tillsynsmail/A 48452-2023 tillsynsbegäran mail.docx", "A 48452-2023")</f>
        <v/>
      </c>
    </row>
    <row r="916" ht="15" customHeight="1">
      <c r="A916" t="inlineStr">
        <is>
          <t>A 48544-2023</t>
        </is>
      </c>
      <c r="B916" s="1" t="n">
        <v>45208</v>
      </c>
      <c r="C916" s="1" t="n">
        <v>45706</v>
      </c>
      <c r="D916" t="inlineStr">
        <is>
          <t>DALARNAS LÄN</t>
        </is>
      </c>
      <c r="E916" t="inlineStr">
        <is>
          <t>LUDVIKA</t>
        </is>
      </c>
      <c r="F916" t="inlineStr">
        <is>
          <t>Bergvik skog väst AB</t>
        </is>
      </c>
      <c r="G916" t="n">
        <v>0.9</v>
      </c>
      <c r="H916" t="n">
        <v>0</v>
      </c>
      <c r="I916" t="n">
        <v>0</v>
      </c>
      <c r="J916" t="n">
        <v>1</v>
      </c>
      <c r="K916" t="n">
        <v>0</v>
      </c>
      <c r="L916" t="n">
        <v>0</v>
      </c>
      <c r="M916" t="n">
        <v>0</v>
      </c>
      <c r="N916" t="n">
        <v>0</v>
      </c>
      <c r="O916" t="n">
        <v>1</v>
      </c>
      <c r="P916" t="n">
        <v>0</v>
      </c>
      <c r="Q916" t="n">
        <v>1</v>
      </c>
      <c r="R916" s="2" t="inlineStr">
        <is>
          <t>Garnlav</t>
        </is>
      </c>
      <c r="S916">
        <f>HYPERLINK("https://klasma.github.io/Logging_2085/artfynd/A 48544-2023 artfynd.xlsx", "A 48544-2023")</f>
        <v/>
      </c>
      <c r="T916">
        <f>HYPERLINK("https://klasma.github.io/Logging_2085/kartor/A 48544-2023 karta.png", "A 48544-2023")</f>
        <v/>
      </c>
      <c r="V916">
        <f>HYPERLINK("https://klasma.github.io/Logging_2085/klagomål/A 48544-2023 FSC-klagomål.docx", "A 48544-2023")</f>
        <v/>
      </c>
      <c r="W916">
        <f>HYPERLINK("https://klasma.github.io/Logging_2085/klagomålsmail/A 48544-2023 FSC-klagomål mail.docx", "A 48544-2023")</f>
        <v/>
      </c>
      <c r="X916">
        <f>HYPERLINK("https://klasma.github.io/Logging_2085/tillsyn/A 48544-2023 tillsynsbegäran.docx", "A 48544-2023")</f>
        <v/>
      </c>
      <c r="Y916">
        <f>HYPERLINK("https://klasma.github.io/Logging_2085/tillsynsmail/A 48544-2023 tillsynsbegäran mail.docx", "A 48544-2023")</f>
        <v/>
      </c>
    </row>
    <row r="917" ht="15" customHeight="1">
      <c r="A917" t="inlineStr">
        <is>
          <t>A 48693-2023</t>
        </is>
      </c>
      <c r="B917" s="1" t="n">
        <v>45208</v>
      </c>
      <c r="C917" s="1" t="n">
        <v>45706</v>
      </c>
      <c r="D917" t="inlineStr">
        <is>
          <t>DALARNAS LÄN</t>
        </is>
      </c>
      <c r="E917" t="inlineStr">
        <is>
          <t>FALUN</t>
        </is>
      </c>
      <c r="F917" t="inlineStr">
        <is>
          <t>Bergvik skog väst AB</t>
        </is>
      </c>
      <c r="G917" t="n">
        <v>4.1</v>
      </c>
      <c r="H917" t="n">
        <v>1</v>
      </c>
      <c r="I917" t="n">
        <v>0</v>
      </c>
      <c r="J917" t="n">
        <v>0</v>
      </c>
      <c r="K917" t="n">
        <v>0</v>
      </c>
      <c r="L917" t="n">
        <v>0</v>
      </c>
      <c r="M917" t="n">
        <v>0</v>
      </c>
      <c r="N917" t="n">
        <v>0</v>
      </c>
      <c r="O917" t="n">
        <v>0</v>
      </c>
      <c r="P917" t="n">
        <v>0</v>
      </c>
      <c r="Q917" t="n">
        <v>1</v>
      </c>
      <c r="R917" s="2" t="inlineStr">
        <is>
          <t>Revlummer</t>
        </is>
      </c>
      <c r="S917">
        <f>HYPERLINK("https://klasma.github.io/Logging_2080/artfynd/A 48693-2023 artfynd.xlsx", "A 48693-2023")</f>
        <v/>
      </c>
      <c r="T917">
        <f>HYPERLINK("https://klasma.github.io/Logging_2080/kartor/A 48693-2023 karta.png", "A 48693-2023")</f>
        <v/>
      </c>
      <c r="V917">
        <f>HYPERLINK("https://klasma.github.io/Logging_2080/klagomål/A 48693-2023 FSC-klagomål.docx", "A 48693-2023")</f>
        <v/>
      </c>
      <c r="W917">
        <f>HYPERLINK("https://klasma.github.io/Logging_2080/klagomålsmail/A 48693-2023 FSC-klagomål mail.docx", "A 48693-2023")</f>
        <v/>
      </c>
      <c r="X917">
        <f>HYPERLINK("https://klasma.github.io/Logging_2080/tillsyn/A 48693-2023 tillsynsbegäran.docx", "A 48693-2023")</f>
        <v/>
      </c>
      <c r="Y917">
        <f>HYPERLINK("https://klasma.github.io/Logging_2080/tillsynsmail/A 48693-2023 tillsynsbegäran mail.docx", "A 48693-2023")</f>
        <v/>
      </c>
    </row>
    <row r="918" ht="15" customHeight="1">
      <c r="A918" t="inlineStr">
        <is>
          <t>A 49515-2023</t>
        </is>
      </c>
      <c r="B918" s="1" t="n">
        <v>45211</v>
      </c>
      <c r="C918" s="1" t="n">
        <v>45706</v>
      </c>
      <c r="D918" t="inlineStr">
        <is>
          <t>DALARNAS LÄN</t>
        </is>
      </c>
      <c r="E918" t="inlineStr">
        <is>
          <t>ORSA</t>
        </is>
      </c>
      <c r="F918" t="inlineStr">
        <is>
          <t>Allmännings- och besparingsskogar</t>
        </is>
      </c>
      <c r="G918" t="n">
        <v>17.5</v>
      </c>
      <c r="H918" t="n">
        <v>0</v>
      </c>
      <c r="I918" t="n">
        <v>1</v>
      </c>
      <c r="J918" t="n">
        <v>0</v>
      </c>
      <c r="K918" t="n">
        <v>0</v>
      </c>
      <c r="L918" t="n">
        <v>0</v>
      </c>
      <c r="M918" t="n">
        <v>0</v>
      </c>
      <c r="N918" t="n">
        <v>0</v>
      </c>
      <c r="O918" t="n">
        <v>0</v>
      </c>
      <c r="P918" t="n">
        <v>0</v>
      </c>
      <c r="Q918" t="n">
        <v>1</v>
      </c>
      <c r="R918" s="2" t="inlineStr">
        <is>
          <t>Skarp dropptaggsvamp</t>
        </is>
      </c>
      <c r="S918">
        <f>HYPERLINK("https://klasma.github.io/Logging_2034/artfynd/A 49515-2023 artfynd.xlsx", "A 49515-2023")</f>
        <v/>
      </c>
      <c r="T918">
        <f>HYPERLINK("https://klasma.github.io/Logging_2034/kartor/A 49515-2023 karta.png", "A 49515-2023")</f>
        <v/>
      </c>
      <c r="V918">
        <f>HYPERLINK("https://klasma.github.io/Logging_2034/klagomål/A 49515-2023 FSC-klagomål.docx", "A 49515-2023")</f>
        <v/>
      </c>
      <c r="W918">
        <f>HYPERLINK("https://klasma.github.io/Logging_2034/klagomålsmail/A 49515-2023 FSC-klagomål mail.docx", "A 49515-2023")</f>
        <v/>
      </c>
      <c r="X918">
        <f>HYPERLINK("https://klasma.github.io/Logging_2034/tillsyn/A 49515-2023 tillsynsbegäran.docx", "A 49515-2023")</f>
        <v/>
      </c>
      <c r="Y918">
        <f>HYPERLINK("https://klasma.github.io/Logging_2034/tillsynsmail/A 49515-2023 tillsynsbegäran mail.docx", "A 49515-2023")</f>
        <v/>
      </c>
    </row>
    <row r="919" ht="15" customHeight="1">
      <c r="A919" t="inlineStr">
        <is>
          <t>A 50079-2023</t>
        </is>
      </c>
      <c r="B919" s="1" t="n">
        <v>45215</v>
      </c>
      <c r="C919" s="1" t="n">
        <v>45706</v>
      </c>
      <c r="D919" t="inlineStr">
        <is>
          <t>DALARNAS LÄN</t>
        </is>
      </c>
      <c r="E919" t="inlineStr">
        <is>
          <t>SÄTER</t>
        </is>
      </c>
      <c r="G919" t="n">
        <v>3.8</v>
      </c>
      <c r="H919" t="n">
        <v>1</v>
      </c>
      <c r="I919" t="n">
        <v>0</v>
      </c>
      <c r="J919" t="n">
        <v>0</v>
      </c>
      <c r="K919" t="n">
        <v>0</v>
      </c>
      <c r="L919" t="n">
        <v>0</v>
      </c>
      <c r="M919" t="n">
        <v>0</v>
      </c>
      <c r="N919" t="n">
        <v>0</v>
      </c>
      <c r="O919" t="n">
        <v>0</v>
      </c>
      <c r="P919" t="n">
        <v>0</v>
      </c>
      <c r="Q919" t="n">
        <v>1</v>
      </c>
      <c r="R919" s="2" t="inlineStr">
        <is>
          <t>Blåsippa</t>
        </is>
      </c>
      <c r="S919">
        <f>HYPERLINK("https://klasma.github.io/Logging_2082/artfynd/A 50079-2023 artfynd.xlsx", "A 50079-2023")</f>
        <v/>
      </c>
      <c r="T919">
        <f>HYPERLINK("https://klasma.github.io/Logging_2082/kartor/A 50079-2023 karta.png", "A 50079-2023")</f>
        <v/>
      </c>
      <c r="V919">
        <f>HYPERLINK("https://klasma.github.io/Logging_2082/klagomål/A 50079-2023 FSC-klagomål.docx", "A 50079-2023")</f>
        <v/>
      </c>
      <c r="W919">
        <f>HYPERLINK("https://klasma.github.io/Logging_2082/klagomålsmail/A 50079-2023 FSC-klagomål mail.docx", "A 50079-2023")</f>
        <v/>
      </c>
      <c r="X919">
        <f>HYPERLINK("https://klasma.github.io/Logging_2082/tillsyn/A 50079-2023 tillsynsbegäran.docx", "A 50079-2023")</f>
        <v/>
      </c>
      <c r="Y919">
        <f>HYPERLINK("https://klasma.github.io/Logging_2082/tillsynsmail/A 50079-2023 tillsynsbegäran mail.docx", "A 50079-2023")</f>
        <v/>
      </c>
    </row>
    <row r="920" ht="15" customHeight="1">
      <c r="A920" t="inlineStr">
        <is>
          <t>A 54156-2023</t>
        </is>
      </c>
      <c r="B920" s="1" t="n">
        <v>45225</v>
      </c>
      <c r="C920" s="1" t="n">
        <v>45706</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52958-2023</t>
        </is>
      </c>
      <c r="B921" s="1" t="n">
        <v>45226</v>
      </c>
      <c r="C921" s="1" t="n">
        <v>45706</v>
      </c>
      <c r="D921" t="inlineStr">
        <is>
          <t>DALARNAS LÄN</t>
        </is>
      </c>
      <c r="E921" t="inlineStr">
        <is>
          <t>SMEDJEBACKEN</t>
        </is>
      </c>
      <c r="F921" t="inlineStr">
        <is>
          <t>Sveaskog</t>
        </is>
      </c>
      <c r="G921" t="n">
        <v>4.9</v>
      </c>
      <c r="H921" t="n">
        <v>0</v>
      </c>
      <c r="I921" t="n">
        <v>0</v>
      </c>
      <c r="J921" t="n">
        <v>1</v>
      </c>
      <c r="K921" t="n">
        <v>0</v>
      </c>
      <c r="L921" t="n">
        <v>0</v>
      </c>
      <c r="M921" t="n">
        <v>0</v>
      </c>
      <c r="N921" t="n">
        <v>0</v>
      </c>
      <c r="O921" t="n">
        <v>1</v>
      </c>
      <c r="P921" t="n">
        <v>0</v>
      </c>
      <c r="Q921" t="n">
        <v>1</v>
      </c>
      <c r="R921" s="2" t="inlineStr">
        <is>
          <t>Motaggsvamp</t>
        </is>
      </c>
      <c r="S921">
        <f>HYPERLINK("https://klasma.github.io/Logging_2061/artfynd/A 52958-2023 artfynd.xlsx", "A 52958-2023")</f>
        <v/>
      </c>
      <c r="T921">
        <f>HYPERLINK("https://klasma.github.io/Logging_2061/kartor/A 52958-2023 karta.png", "A 52958-2023")</f>
        <v/>
      </c>
      <c r="V921">
        <f>HYPERLINK("https://klasma.github.io/Logging_2061/klagomål/A 52958-2023 FSC-klagomål.docx", "A 52958-2023")</f>
        <v/>
      </c>
      <c r="W921">
        <f>HYPERLINK("https://klasma.github.io/Logging_2061/klagomålsmail/A 52958-2023 FSC-klagomål mail.docx", "A 52958-2023")</f>
        <v/>
      </c>
      <c r="X921">
        <f>HYPERLINK("https://klasma.github.io/Logging_2061/tillsyn/A 52958-2023 tillsynsbegäran.docx", "A 52958-2023")</f>
        <v/>
      </c>
      <c r="Y921">
        <f>HYPERLINK("https://klasma.github.io/Logging_2061/tillsynsmail/A 52958-2023 tillsynsbegäran mail.docx", "A 52958-2023")</f>
        <v/>
      </c>
    </row>
    <row r="922" ht="15" customHeight="1">
      <c r="A922" t="inlineStr">
        <is>
          <t>A 53031-2023</t>
        </is>
      </c>
      <c r="B922" s="1" t="n">
        <v>45226</v>
      </c>
      <c r="C922" s="1" t="n">
        <v>45706</v>
      </c>
      <c r="D922" t="inlineStr">
        <is>
          <t>DALARNAS LÄN</t>
        </is>
      </c>
      <c r="E922" t="inlineStr">
        <is>
          <t>HEDEMORA</t>
        </is>
      </c>
      <c r="F922" t="inlineStr">
        <is>
          <t>Sveaskog</t>
        </is>
      </c>
      <c r="G922" t="n">
        <v>6.9</v>
      </c>
      <c r="H922" t="n">
        <v>1</v>
      </c>
      <c r="I922" t="n">
        <v>0</v>
      </c>
      <c r="J922" t="n">
        <v>1</v>
      </c>
      <c r="K922" t="n">
        <v>0</v>
      </c>
      <c r="L922" t="n">
        <v>0</v>
      </c>
      <c r="M922" t="n">
        <v>0</v>
      </c>
      <c r="N922" t="n">
        <v>0</v>
      </c>
      <c r="O922" t="n">
        <v>1</v>
      </c>
      <c r="P922" t="n">
        <v>0</v>
      </c>
      <c r="Q922" t="n">
        <v>1</v>
      </c>
      <c r="R922" s="2" t="inlineStr">
        <is>
          <t>Talltita</t>
        </is>
      </c>
      <c r="S922">
        <f>HYPERLINK("https://klasma.github.io/Logging_2083/artfynd/A 53031-2023 artfynd.xlsx", "A 53031-2023")</f>
        <v/>
      </c>
      <c r="T922">
        <f>HYPERLINK("https://klasma.github.io/Logging_2083/kartor/A 53031-2023 karta.png", "A 53031-2023")</f>
        <v/>
      </c>
      <c r="V922">
        <f>HYPERLINK("https://klasma.github.io/Logging_2083/klagomål/A 53031-2023 FSC-klagomål.docx", "A 53031-2023")</f>
        <v/>
      </c>
      <c r="W922">
        <f>HYPERLINK("https://klasma.github.io/Logging_2083/klagomålsmail/A 53031-2023 FSC-klagomål mail.docx", "A 53031-2023")</f>
        <v/>
      </c>
      <c r="X922">
        <f>HYPERLINK("https://klasma.github.io/Logging_2083/tillsyn/A 53031-2023 tillsynsbegäran.docx", "A 53031-2023")</f>
        <v/>
      </c>
      <c r="Y922">
        <f>HYPERLINK("https://klasma.github.io/Logging_2083/tillsynsmail/A 53031-2023 tillsynsbegäran mail.docx", "A 53031-2023")</f>
        <v/>
      </c>
      <c r="Z922">
        <f>HYPERLINK("https://klasma.github.io/Logging_2083/fåglar/A 53031-2023 prioriterade fågelarter.docx", "A 53031-2023")</f>
        <v/>
      </c>
    </row>
    <row r="923" ht="15" customHeight="1">
      <c r="A923" t="inlineStr">
        <is>
          <t>A 52953-2023</t>
        </is>
      </c>
      <c r="B923" s="1" t="n">
        <v>45226</v>
      </c>
      <c r="C923" s="1" t="n">
        <v>45706</v>
      </c>
      <c r="D923" t="inlineStr">
        <is>
          <t>DALARNAS LÄN</t>
        </is>
      </c>
      <c r="E923" t="inlineStr">
        <is>
          <t>SMEDJEBACKEN</t>
        </is>
      </c>
      <c r="F923" t="inlineStr">
        <is>
          <t>Sveaskog</t>
        </is>
      </c>
      <c r="G923" t="n">
        <v>0.9</v>
      </c>
      <c r="H923" t="n">
        <v>0</v>
      </c>
      <c r="I923" t="n">
        <v>0</v>
      </c>
      <c r="J923" t="n">
        <v>1</v>
      </c>
      <c r="K923" t="n">
        <v>0</v>
      </c>
      <c r="L923" t="n">
        <v>0</v>
      </c>
      <c r="M923" t="n">
        <v>0</v>
      </c>
      <c r="N923" t="n">
        <v>0</v>
      </c>
      <c r="O923" t="n">
        <v>1</v>
      </c>
      <c r="P923" t="n">
        <v>0</v>
      </c>
      <c r="Q923" t="n">
        <v>1</v>
      </c>
      <c r="R923" s="2" t="inlineStr">
        <is>
          <t>Motaggsvamp</t>
        </is>
      </c>
      <c r="S923">
        <f>HYPERLINK("https://klasma.github.io/Logging_2061/artfynd/A 52953-2023 artfynd.xlsx", "A 52953-2023")</f>
        <v/>
      </c>
      <c r="T923">
        <f>HYPERLINK("https://klasma.github.io/Logging_2061/kartor/A 52953-2023 karta.png", "A 52953-2023")</f>
        <v/>
      </c>
      <c r="V923">
        <f>HYPERLINK("https://klasma.github.io/Logging_2061/klagomål/A 52953-2023 FSC-klagomål.docx", "A 52953-2023")</f>
        <v/>
      </c>
      <c r="W923">
        <f>HYPERLINK("https://klasma.github.io/Logging_2061/klagomålsmail/A 52953-2023 FSC-klagomål mail.docx", "A 52953-2023")</f>
        <v/>
      </c>
      <c r="X923">
        <f>HYPERLINK("https://klasma.github.io/Logging_2061/tillsyn/A 52953-2023 tillsynsbegäran.docx", "A 52953-2023")</f>
        <v/>
      </c>
      <c r="Y923">
        <f>HYPERLINK("https://klasma.github.io/Logging_2061/tillsynsmail/A 52953-2023 tillsynsbegäran mail.docx", "A 52953-2023")</f>
        <v/>
      </c>
    </row>
    <row r="924" ht="15" customHeight="1">
      <c r="A924" t="inlineStr">
        <is>
          <t>A 53262-2023</t>
        </is>
      </c>
      <c r="B924" s="1" t="n">
        <v>45229</v>
      </c>
      <c r="C924" s="1" t="n">
        <v>45706</v>
      </c>
      <c r="D924" t="inlineStr">
        <is>
          <t>DALARNAS LÄN</t>
        </is>
      </c>
      <c r="E924" t="inlineStr">
        <is>
          <t>LEKSAND</t>
        </is>
      </c>
      <c r="G924" t="n">
        <v>6.1</v>
      </c>
      <c r="H924" t="n">
        <v>1</v>
      </c>
      <c r="I924" t="n">
        <v>0</v>
      </c>
      <c r="J924" t="n">
        <v>0</v>
      </c>
      <c r="K924" t="n">
        <v>0</v>
      </c>
      <c r="L924" t="n">
        <v>1</v>
      </c>
      <c r="M924" t="n">
        <v>0</v>
      </c>
      <c r="N924" t="n">
        <v>0</v>
      </c>
      <c r="O924" t="n">
        <v>1</v>
      </c>
      <c r="P924" t="n">
        <v>1</v>
      </c>
      <c r="Q924" t="n">
        <v>1</v>
      </c>
      <c r="R924" s="2" t="inlineStr">
        <is>
          <t>Mosippa</t>
        </is>
      </c>
      <c r="S924">
        <f>HYPERLINK("https://klasma.github.io/Logging_2029/artfynd/A 53262-2023 artfynd.xlsx", "A 53262-2023")</f>
        <v/>
      </c>
      <c r="T924">
        <f>HYPERLINK("https://klasma.github.io/Logging_2029/kartor/A 53262-2023 karta.png", "A 53262-2023")</f>
        <v/>
      </c>
      <c r="V924">
        <f>HYPERLINK("https://klasma.github.io/Logging_2029/klagomål/A 53262-2023 FSC-klagomål.docx", "A 53262-2023")</f>
        <v/>
      </c>
      <c r="W924">
        <f>HYPERLINK("https://klasma.github.io/Logging_2029/klagomålsmail/A 53262-2023 FSC-klagomål mail.docx", "A 53262-2023")</f>
        <v/>
      </c>
      <c r="X924">
        <f>HYPERLINK("https://klasma.github.io/Logging_2029/tillsyn/A 53262-2023 tillsynsbegäran.docx", "A 53262-2023")</f>
        <v/>
      </c>
      <c r="Y924">
        <f>HYPERLINK("https://klasma.github.io/Logging_2029/tillsynsmail/A 53262-2023 tillsynsbegäran mail.docx", "A 53262-2023")</f>
        <v/>
      </c>
    </row>
    <row r="925" ht="15" customHeight="1">
      <c r="A925" t="inlineStr">
        <is>
          <t>A 53966-2023</t>
        </is>
      </c>
      <c r="B925" s="1" t="n">
        <v>45231</v>
      </c>
      <c r="C925" s="1" t="n">
        <v>45706</v>
      </c>
      <c r="D925" t="inlineStr">
        <is>
          <t>DALARNAS LÄN</t>
        </is>
      </c>
      <c r="E925" t="inlineStr">
        <is>
          <t>ÄLVDALEN</t>
        </is>
      </c>
      <c r="F925" t="inlineStr">
        <is>
          <t>Bergvik skog öst AB</t>
        </is>
      </c>
      <c r="G925" t="n">
        <v>14.7</v>
      </c>
      <c r="H925" t="n">
        <v>1</v>
      </c>
      <c r="I925" t="n">
        <v>0</v>
      </c>
      <c r="J925" t="n">
        <v>0</v>
      </c>
      <c r="K925" t="n">
        <v>1</v>
      </c>
      <c r="L925" t="n">
        <v>0</v>
      </c>
      <c r="M925" t="n">
        <v>0</v>
      </c>
      <c r="N925" t="n">
        <v>0</v>
      </c>
      <c r="O925" t="n">
        <v>1</v>
      </c>
      <c r="P925" t="n">
        <v>1</v>
      </c>
      <c r="Q925" t="n">
        <v>1</v>
      </c>
      <c r="R925" s="2" t="inlineStr">
        <is>
          <t>Lappuggla</t>
        </is>
      </c>
      <c r="S925">
        <f>HYPERLINK("https://klasma.github.io/Logging_2039/artfynd/A 53966-2023 artfynd.xlsx", "A 53966-2023")</f>
        <v/>
      </c>
      <c r="T925">
        <f>HYPERLINK("https://klasma.github.io/Logging_2039/kartor/A 53966-2023 karta.png", "A 53966-2023")</f>
        <v/>
      </c>
      <c r="V925">
        <f>HYPERLINK("https://klasma.github.io/Logging_2039/klagomål/A 53966-2023 FSC-klagomål.docx", "A 53966-2023")</f>
        <v/>
      </c>
      <c r="W925">
        <f>HYPERLINK("https://klasma.github.io/Logging_2039/klagomålsmail/A 53966-2023 FSC-klagomål mail.docx", "A 53966-2023")</f>
        <v/>
      </c>
      <c r="X925">
        <f>HYPERLINK("https://klasma.github.io/Logging_2039/tillsyn/A 53966-2023 tillsynsbegäran.docx", "A 53966-2023")</f>
        <v/>
      </c>
      <c r="Y925">
        <f>HYPERLINK("https://klasma.github.io/Logging_2039/tillsynsmail/A 53966-2023 tillsynsbegäran mail.docx", "A 53966-2023")</f>
        <v/>
      </c>
      <c r="Z925">
        <f>HYPERLINK("https://klasma.github.io/Logging_2039/fåglar/A 53966-2023 prioriterade fågelarter.docx", "A 53966-2023")</f>
        <v/>
      </c>
    </row>
    <row r="926" ht="15" customHeight="1">
      <c r="A926" t="inlineStr">
        <is>
          <t>A 55268-2023</t>
        </is>
      </c>
      <c r="B926" s="1" t="n">
        <v>45231</v>
      </c>
      <c r="C926" s="1" t="n">
        <v>45706</v>
      </c>
      <c r="D926" t="inlineStr">
        <is>
          <t>DALARNAS LÄN</t>
        </is>
      </c>
      <c r="E926" t="inlineStr">
        <is>
          <t>RÄTTVIK</t>
        </is>
      </c>
      <c r="G926" t="n">
        <v>1.4</v>
      </c>
      <c r="H926" t="n">
        <v>1</v>
      </c>
      <c r="I926" t="n">
        <v>0</v>
      </c>
      <c r="J926" t="n">
        <v>1</v>
      </c>
      <c r="K926" t="n">
        <v>0</v>
      </c>
      <c r="L926" t="n">
        <v>0</v>
      </c>
      <c r="M926" t="n">
        <v>0</v>
      </c>
      <c r="N926" t="n">
        <v>0</v>
      </c>
      <c r="O926" t="n">
        <v>1</v>
      </c>
      <c r="P926" t="n">
        <v>0</v>
      </c>
      <c r="Q926" t="n">
        <v>1</v>
      </c>
      <c r="R926" s="2" t="inlineStr">
        <is>
          <t>Utter</t>
        </is>
      </c>
      <c r="S926">
        <f>HYPERLINK("https://klasma.github.io/Logging_2031/artfynd/A 55268-2023 artfynd.xlsx", "A 55268-2023")</f>
        <v/>
      </c>
      <c r="T926">
        <f>HYPERLINK("https://klasma.github.io/Logging_2031/kartor/A 55268-2023 karta.png", "A 55268-2023")</f>
        <v/>
      </c>
      <c r="V926">
        <f>HYPERLINK("https://klasma.github.io/Logging_2031/klagomål/A 55268-2023 FSC-klagomål.docx", "A 55268-2023")</f>
        <v/>
      </c>
      <c r="W926">
        <f>HYPERLINK("https://klasma.github.io/Logging_2031/klagomålsmail/A 55268-2023 FSC-klagomål mail.docx", "A 55268-2023")</f>
        <v/>
      </c>
      <c r="X926">
        <f>HYPERLINK("https://klasma.github.io/Logging_2031/tillsyn/A 55268-2023 tillsynsbegäran.docx", "A 55268-2023")</f>
        <v/>
      </c>
      <c r="Y926">
        <f>HYPERLINK("https://klasma.github.io/Logging_2031/tillsynsmail/A 55268-2023 tillsynsbegäran mail.docx", "A 55268-2023")</f>
        <v/>
      </c>
    </row>
    <row r="927" ht="15" customHeight="1">
      <c r="A927" t="inlineStr">
        <is>
          <t>A 55476-2023</t>
        </is>
      </c>
      <c r="B927" s="1" t="n">
        <v>45231</v>
      </c>
      <c r="C927" s="1" t="n">
        <v>45706</v>
      </c>
      <c r="D927" t="inlineStr">
        <is>
          <t>DALARNAS LÄN</t>
        </is>
      </c>
      <c r="E927" t="inlineStr">
        <is>
          <t>SMEDJEBACKEN</t>
        </is>
      </c>
      <c r="F927" t="inlineStr">
        <is>
          <t>Bergvik skog väst AB</t>
        </is>
      </c>
      <c r="G927" t="n">
        <v>16.3</v>
      </c>
      <c r="H927" t="n">
        <v>1</v>
      </c>
      <c r="I927" t="n">
        <v>0</v>
      </c>
      <c r="J927" t="n">
        <v>0</v>
      </c>
      <c r="K927" t="n">
        <v>0</v>
      </c>
      <c r="L927" t="n">
        <v>0</v>
      </c>
      <c r="M927" t="n">
        <v>0</v>
      </c>
      <c r="N927" t="n">
        <v>0</v>
      </c>
      <c r="O927" t="n">
        <v>0</v>
      </c>
      <c r="P927" t="n">
        <v>0</v>
      </c>
      <c r="Q927" t="n">
        <v>1</v>
      </c>
      <c r="R927" s="2" t="inlineStr">
        <is>
          <t>Revlummer</t>
        </is>
      </c>
      <c r="S927">
        <f>HYPERLINK("https://klasma.github.io/Logging_2061/artfynd/A 55476-2023 artfynd.xlsx", "A 55476-2023")</f>
        <v/>
      </c>
      <c r="T927">
        <f>HYPERLINK("https://klasma.github.io/Logging_2061/kartor/A 55476-2023 karta.png", "A 55476-2023")</f>
        <v/>
      </c>
      <c r="V927">
        <f>HYPERLINK("https://klasma.github.io/Logging_2061/klagomål/A 55476-2023 FSC-klagomål.docx", "A 55476-2023")</f>
        <v/>
      </c>
      <c r="W927">
        <f>HYPERLINK("https://klasma.github.io/Logging_2061/klagomålsmail/A 55476-2023 FSC-klagomål mail.docx", "A 55476-2023")</f>
        <v/>
      </c>
      <c r="X927">
        <f>HYPERLINK("https://klasma.github.io/Logging_2061/tillsyn/A 55476-2023 tillsynsbegäran.docx", "A 55476-2023")</f>
        <v/>
      </c>
      <c r="Y927">
        <f>HYPERLINK("https://klasma.github.io/Logging_2061/tillsynsmail/A 55476-2023 tillsynsbegäran mail.docx", "A 55476-2023")</f>
        <v/>
      </c>
    </row>
    <row r="928" ht="15" customHeight="1">
      <c r="A928" t="inlineStr">
        <is>
          <t>A 54132-2023</t>
        </is>
      </c>
      <c r="B928" s="1" t="n">
        <v>45232</v>
      </c>
      <c r="C928" s="1" t="n">
        <v>45706</v>
      </c>
      <c r="D928" t="inlineStr">
        <is>
          <t>DALARNAS LÄN</t>
        </is>
      </c>
      <c r="E928" t="inlineStr">
        <is>
          <t>MORA</t>
        </is>
      </c>
      <c r="G928" t="n">
        <v>0.9</v>
      </c>
      <c r="H928" t="n">
        <v>0</v>
      </c>
      <c r="I928" t="n">
        <v>0</v>
      </c>
      <c r="J928" t="n">
        <v>0</v>
      </c>
      <c r="K928" t="n">
        <v>1</v>
      </c>
      <c r="L928" t="n">
        <v>0</v>
      </c>
      <c r="M928" t="n">
        <v>0</v>
      </c>
      <c r="N928" t="n">
        <v>0</v>
      </c>
      <c r="O928" t="n">
        <v>1</v>
      </c>
      <c r="P928" t="n">
        <v>1</v>
      </c>
      <c r="Q928" t="n">
        <v>1</v>
      </c>
      <c r="R928" s="2" t="inlineStr">
        <is>
          <t>Jättemusseron</t>
        </is>
      </c>
      <c r="S928">
        <f>HYPERLINK("https://klasma.github.io/Logging_2062/artfynd/A 54132-2023 artfynd.xlsx", "A 54132-2023")</f>
        <v/>
      </c>
      <c r="T928">
        <f>HYPERLINK("https://klasma.github.io/Logging_2062/kartor/A 54132-2023 karta.png", "A 54132-2023")</f>
        <v/>
      </c>
      <c r="V928">
        <f>HYPERLINK("https://klasma.github.io/Logging_2062/klagomål/A 54132-2023 FSC-klagomål.docx", "A 54132-2023")</f>
        <v/>
      </c>
      <c r="W928">
        <f>HYPERLINK("https://klasma.github.io/Logging_2062/klagomålsmail/A 54132-2023 FSC-klagomål mail.docx", "A 54132-2023")</f>
        <v/>
      </c>
      <c r="X928">
        <f>HYPERLINK("https://klasma.github.io/Logging_2062/tillsyn/A 54132-2023 tillsynsbegäran.docx", "A 54132-2023")</f>
        <v/>
      </c>
      <c r="Y928">
        <f>HYPERLINK("https://klasma.github.io/Logging_2062/tillsynsmail/A 54132-2023 tillsynsbegäran mail.docx", "A 54132-2023")</f>
        <v/>
      </c>
    </row>
    <row r="929" ht="15" customHeight="1">
      <c r="A929" t="inlineStr">
        <is>
          <t>A 56085-2023</t>
        </is>
      </c>
      <c r="B929" s="1" t="n">
        <v>45240</v>
      </c>
      <c r="C929" s="1" t="n">
        <v>45706</v>
      </c>
      <c r="D929" t="inlineStr">
        <is>
          <t>DALARNAS LÄN</t>
        </is>
      </c>
      <c r="E929" t="inlineStr">
        <is>
          <t>AVESTA</t>
        </is>
      </c>
      <c r="G929" t="n">
        <v>2.7</v>
      </c>
      <c r="H929" t="n">
        <v>0</v>
      </c>
      <c r="I929" t="n">
        <v>1</v>
      </c>
      <c r="J929" t="n">
        <v>0</v>
      </c>
      <c r="K929" t="n">
        <v>0</v>
      </c>
      <c r="L929" t="n">
        <v>0</v>
      </c>
      <c r="M929" t="n">
        <v>0</v>
      </c>
      <c r="N929" t="n">
        <v>0</v>
      </c>
      <c r="O929" t="n">
        <v>0</v>
      </c>
      <c r="P929" t="n">
        <v>0</v>
      </c>
      <c r="Q929" t="n">
        <v>1</v>
      </c>
      <c r="R929" s="2" t="inlineStr">
        <is>
          <t>Rostfläck</t>
        </is>
      </c>
      <c r="S929">
        <f>HYPERLINK("https://klasma.github.io/Logging_2084/artfynd/A 56085-2023 artfynd.xlsx", "A 56085-2023")</f>
        <v/>
      </c>
      <c r="T929">
        <f>HYPERLINK("https://klasma.github.io/Logging_2084/kartor/A 56085-2023 karta.png", "A 56085-2023")</f>
        <v/>
      </c>
      <c r="V929">
        <f>HYPERLINK("https://klasma.github.io/Logging_2084/klagomål/A 56085-2023 FSC-klagomål.docx", "A 56085-2023")</f>
        <v/>
      </c>
      <c r="W929">
        <f>HYPERLINK("https://klasma.github.io/Logging_2084/klagomålsmail/A 56085-2023 FSC-klagomål mail.docx", "A 56085-2023")</f>
        <v/>
      </c>
      <c r="X929">
        <f>HYPERLINK("https://klasma.github.io/Logging_2084/tillsyn/A 56085-2023 tillsynsbegäran.docx", "A 56085-2023")</f>
        <v/>
      </c>
      <c r="Y929">
        <f>HYPERLINK("https://klasma.github.io/Logging_2084/tillsynsmail/A 56085-2023 tillsynsbegäran mail.docx", "A 56085-2023")</f>
        <v/>
      </c>
    </row>
    <row r="930" ht="15" customHeight="1">
      <c r="A930" t="inlineStr">
        <is>
          <t>A 56429-2023</t>
        </is>
      </c>
      <c r="B930" s="1" t="n">
        <v>45243</v>
      </c>
      <c r="C930" s="1" t="n">
        <v>45706</v>
      </c>
      <c r="D930" t="inlineStr">
        <is>
          <t>DALARNAS LÄN</t>
        </is>
      </c>
      <c r="E930" t="inlineStr">
        <is>
          <t>FALUN</t>
        </is>
      </c>
      <c r="F930" t="inlineStr">
        <is>
          <t>Bergvik skog väst AB</t>
        </is>
      </c>
      <c r="G930" t="n">
        <v>1.5</v>
      </c>
      <c r="H930" t="n">
        <v>0</v>
      </c>
      <c r="I930" t="n">
        <v>1</v>
      </c>
      <c r="J930" t="n">
        <v>0</v>
      </c>
      <c r="K930" t="n">
        <v>0</v>
      </c>
      <c r="L930" t="n">
        <v>0</v>
      </c>
      <c r="M930" t="n">
        <v>0</v>
      </c>
      <c r="N930" t="n">
        <v>0</v>
      </c>
      <c r="O930" t="n">
        <v>0</v>
      </c>
      <c r="P930" t="n">
        <v>0</v>
      </c>
      <c r="Q930" t="n">
        <v>1</v>
      </c>
      <c r="R930" s="2" t="inlineStr">
        <is>
          <t>Björksplintborre</t>
        </is>
      </c>
      <c r="S930">
        <f>HYPERLINK("https://klasma.github.io/Logging_2080/artfynd/A 56429-2023 artfynd.xlsx", "A 56429-2023")</f>
        <v/>
      </c>
      <c r="T930">
        <f>HYPERLINK("https://klasma.github.io/Logging_2080/kartor/A 56429-2023 karta.png", "A 56429-2023")</f>
        <v/>
      </c>
      <c r="V930">
        <f>HYPERLINK("https://klasma.github.io/Logging_2080/klagomål/A 56429-2023 FSC-klagomål.docx", "A 56429-2023")</f>
        <v/>
      </c>
      <c r="W930">
        <f>HYPERLINK("https://klasma.github.io/Logging_2080/klagomålsmail/A 56429-2023 FSC-klagomål mail.docx", "A 56429-2023")</f>
        <v/>
      </c>
      <c r="X930">
        <f>HYPERLINK("https://klasma.github.io/Logging_2080/tillsyn/A 56429-2023 tillsynsbegäran.docx", "A 56429-2023")</f>
        <v/>
      </c>
      <c r="Y930">
        <f>HYPERLINK("https://klasma.github.io/Logging_2080/tillsynsmail/A 56429-2023 tillsynsbegäran mail.docx", "A 56429-2023")</f>
        <v/>
      </c>
    </row>
    <row r="931" ht="15" customHeight="1">
      <c r="A931" t="inlineStr">
        <is>
          <t>A 56423-2023</t>
        </is>
      </c>
      <c r="B931" s="1" t="n">
        <v>45243</v>
      </c>
      <c r="C931" s="1" t="n">
        <v>45706</v>
      </c>
      <c r="D931" t="inlineStr">
        <is>
          <t>DALARNAS LÄN</t>
        </is>
      </c>
      <c r="E931" t="inlineStr">
        <is>
          <t>FALUN</t>
        </is>
      </c>
      <c r="F931" t="inlineStr">
        <is>
          <t>Bergvik skog väst AB</t>
        </is>
      </c>
      <c r="G931" t="n">
        <v>17.5</v>
      </c>
      <c r="H931" t="n">
        <v>0</v>
      </c>
      <c r="I931" t="n">
        <v>1</v>
      </c>
      <c r="J931" t="n">
        <v>0</v>
      </c>
      <c r="K931" t="n">
        <v>0</v>
      </c>
      <c r="L931" t="n">
        <v>0</v>
      </c>
      <c r="M931" t="n">
        <v>0</v>
      </c>
      <c r="N931" t="n">
        <v>0</v>
      </c>
      <c r="O931" t="n">
        <v>0</v>
      </c>
      <c r="P931" t="n">
        <v>0</v>
      </c>
      <c r="Q931" t="n">
        <v>1</v>
      </c>
      <c r="R931" s="2" t="inlineStr">
        <is>
          <t>Jättesvampmal</t>
        </is>
      </c>
      <c r="S931">
        <f>HYPERLINK("https://klasma.github.io/Logging_2080/artfynd/A 56423-2023 artfynd.xlsx", "A 56423-2023")</f>
        <v/>
      </c>
      <c r="T931">
        <f>HYPERLINK("https://klasma.github.io/Logging_2080/kartor/A 56423-2023 karta.png", "A 56423-2023")</f>
        <v/>
      </c>
      <c r="V931">
        <f>HYPERLINK("https://klasma.github.io/Logging_2080/klagomål/A 56423-2023 FSC-klagomål.docx", "A 56423-2023")</f>
        <v/>
      </c>
      <c r="W931">
        <f>HYPERLINK("https://klasma.github.io/Logging_2080/klagomålsmail/A 56423-2023 FSC-klagomål mail.docx", "A 56423-2023")</f>
        <v/>
      </c>
      <c r="X931">
        <f>HYPERLINK("https://klasma.github.io/Logging_2080/tillsyn/A 56423-2023 tillsynsbegäran.docx", "A 56423-2023")</f>
        <v/>
      </c>
      <c r="Y931">
        <f>HYPERLINK("https://klasma.github.io/Logging_2080/tillsynsmail/A 56423-2023 tillsynsbegäran mail.docx", "A 56423-2023")</f>
        <v/>
      </c>
    </row>
    <row r="932" ht="15" customHeight="1">
      <c r="A932" t="inlineStr">
        <is>
          <t>A 57008-2023</t>
        </is>
      </c>
      <c r="B932" s="1" t="n">
        <v>45244</v>
      </c>
      <c r="C932" s="1" t="n">
        <v>45706</v>
      </c>
      <c r="D932" t="inlineStr">
        <is>
          <t>DALARNAS LÄN</t>
        </is>
      </c>
      <c r="E932" t="inlineStr">
        <is>
          <t>GAGNEF</t>
        </is>
      </c>
      <c r="G932" t="n">
        <v>8.699999999999999</v>
      </c>
      <c r="H932" t="n">
        <v>0</v>
      </c>
      <c r="I932" t="n">
        <v>1</v>
      </c>
      <c r="J932" t="n">
        <v>0</v>
      </c>
      <c r="K932" t="n">
        <v>0</v>
      </c>
      <c r="L932" t="n">
        <v>0</v>
      </c>
      <c r="M932" t="n">
        <v>0</v>
      </c>
      <c r="N932" t="n">
        <v>0</v>
      </c>
      <c r="O932" t="n">
        <v>0</v>
      </c>
      <c r="P932" t="n">
        <v>0</v>
      </c>
      <c r="Q932" t="n">
        <v>1</v>
      </c>
      <c r="R932" s="2" t="inlineStr">
        <is>
          <t>Dropptaggsvamp</t>
        </is>
      </c>
      <c r="S932">
        <f>HYPERLINK("https://klasma.github.io/Logging_2026/artfynd/A 57008-2023 artfynd.xlsx", "A 57008-2023")</f>
        <v/>
      </c>
      <c r="T932">
        <f>HYPERLINK("https://klasma.github.io/Logging_2026/kartor/A 57008-2023 karta.png", "A 57008-2023")</f>
        <v/>
      </c>
      <c r="V932">
        <f>HYPERLINK("https://klasma.github.io/Logging_2026/klagomål/A 57008-2023 FSC-klagomål.docx", "A 57008-2023")</f>
        <v/>
      </c>
      <c r="W932">
        <f>HYPERLINK("https://klasma.github.io/Logging_2026/klagomålsmail/A 57008-2023 FSC-klagomål mail.docx", "A 57008-2023")</f>
        <v/>
      </c>
      <c r="X932">
        <f>HYPERLINK("https://klasma.github.io/Logging_2026/tillsyn/A 57008-2023 tillsynsbegäran.docx", "A 57008-2023")</f>
        <v/>
      </c>
      <c r="Y932">
        <f>HYPERLINK("https://klasma.github.io/Logging_2026/tillsynsmail/A 57008-2023 tillsynsbegäran mail.docx", "A 57008-2023")</f>
        <v/>
      </c>
    </row>
    <row r="933" ht="15" customHeight="1">
      <c r="A933" t="inlineStr">
        <is>
          <t>A 57333-2023</t>
        </is>
      </c>
      <c r="B933" s="1" t="n">
        <v>45245</v>
      </c>
      <c r="C933" s="1" t="n">
        <v>45706</v>
      </c>
      <c r="D933" t="inlineStr">
        <is>
          <t>DALARNAS LÄN</t>
        </is>
      </c>
      <c r="E933" t="inlineStr">
        <is>
          <t>MALUNG-SÄLEN</t>
        </is>
      </c>
      <c r="G933" t="n">
        <v>6.7</v>
      </c>
      <c r="H933" t="n">
        <v>0</v>
      </c>
      <c r="I933" t="n">
        <v>0</v>
      </c>
      <c r="J933" t="n">
        <v>0</v>
      </c>
      <c r="K933" t="n">
        <v>1</v>
      </c>
      <c r="L933" t="n">
        <v>0</v>
      </c>
      <c r="M933" t="n">
        <v>0</v>
      </c>
      <c r="N933" t="n">
        <v>0</v>
      </c>
      <c r="O933" t="n">
        <v>1</v>
      </c>
      <c r="P933" t="n">
        <v>1</v>
      </c>
      <c r="Q933" t="n">
        <v>1</v>
      </c>
      <c r="R933" s="2" t="inlineStr">
        <is>
          <t>Gräddporing</t>
        </is>
      </c>
      <c r="S933">
        <f>HYPERLINK("https://klasma.github.io/Logging_2023/artfynd/A 57333-2023 artfynd.xlsx", "A 57333-2023")</f>
        <v/>
      </c>
      <c r="T933">
        <f>HYPERLINK("https://klasma.github.io/Logging_2023/kartor/A 57333-2023 karta.png", "A 57333-2023")</f>
        <v/>
      </c>
      <c r="V933">
        <f>HYPERLINK("https://klasma.github.io/Logging_2023/klagomål/A 57333-2023 FSC-klagomål.docx", "A 57333-2023")</f>
        <v/>
      </c>
      <c r="W933">
        <f>HYPERLINK("https://klasma.github.io/Logging_2023/klagomålsmail/A 57333-2023 FSC-klagomål mail.docx", "A 57333-2023")</f>
        <v/>
      </c>
      <c r="X933">
        <f>HYPERLINK("https://klasma.github.io/Logging_2023/tillsyn/A 57333-2023 tillsynsbegäran.docx", "A 57333-2023")</f>
        <v/>
      </c>
      <c r="Y933">
        <f>HYPERLINK("https://klasma.github.io/Logging_2023/tillsynsmail/A 57333-2023 tillsynsbegäran mail.docx", "A 57333-2023")</f>
        <v/>
      </c>
    </row>
    <row r="934" ht="15" customHeight="1">
      <c r="A934" t="inlineStr">
        <is>
          <t>A 57702-2023</t>
        </is>
      </c>
      <c r="B934" s="1" t="n">
        <v>45246</v>
      </c>
      <c r="C934" s="1" t="n">
        <v>45706</v>
      </c>
      <c r="D934" t="inlineStr">
        <is>
          <t>DALARNAS LÄN</t>
        </is>
      </c>
      <c r="E934" t="inlineStr">
        <is>
          <t>MALUNG-SÄLEN</t>
        </is>
      </c>
      <c r="G934" t="n">
        <v>1.5</v>
      </c>
      <c r="H934" t="n">
        <v>0</v>
      </c>
      <c r="I934" t="n">
        <v>1</v>
      </c>
      <c r="J934" t="n">
        <v>0</v>
      </c>
      <c r="K934" t="n">
        <v>0</v>
      </c>
      <c r="L934" t="n">
        <v>0</v>
      </c>
      <c r="M934" t="n">
        <v>0</v>
      </c>
      <c r="N934" t="n">
        <v>0</v>
      </c>
      <c r="O934" t="n">
        <v>0</v>
      </c>
      <c r="P934" t="n">
        <v>0</v>
      </c>
      <c r="Q934" t="n">
        <v>1</v>
      </c>
      <c r="R934" s="2" t="inlineStr">
        <is>
          <t>Brun nållav</t>
        </is>
      </c>
      <c r="S934">
        <f>HYPERLINK("https://klasma.github.io/Logging_2023/artfynd/A 57702-2023 artfynd.xlsx", "A 57702-2023")</f>
        <v/>
      </c>
      <c r="T934">
        <f>HYPERLINK("https://klasma.github.io/Logging_2023/kartor/A 57702-2023 karta.png", "A 57702-2023")</f>
        <v/>
      </c>
      <c r="V934">
        <f>HYPERLINK("https://klasma.github.io/Logging_2023/klagomål/A 57702-2023 FSC-klagomål.docx", "A 57702-2023")</f>
        <v/>
      </c>
      <c r="W934">
        <f>HYPERLINK("https://klasma.github.io/Logging_2023/klagomålsmail/A 57702-2023 FSC-klagomål mail.docx", "A 57702-2023")</f>
        <v/>
      </c>
      <c r="X934">
        <f>HYPERLINK("https://klasma.github.io/Logging_2023/tillsyn/A 57702-2023 tillsynsbegäran.docx", "A 57702-2023")</f>
        <v/>
      </c>
      <c r="Y934">
        <f>HYPERLINK("https://klasma.github.io/Logging_2023/tillsynsmail/A 57702-2023 tillsynsbegäran mail.docx", "A 57702-2023")</f>
        <v/>
      </c>
    </row>
    <row r="935" ht="15" customHeight="1">
      <c r="A935" t="inlineStr">
        <is>
          <t>A 58609-2023</t>
        </is>
      </c>
      <c r="B935" s="1" t="n">
        <v>45251</v>
      </c>
      <c r="C935" s="1" t="n">
        <v>45706</v>
      </c>
      <c r="D935" t="inlineStr">
        <is>
          <t>DALARNAS LÄN</t>
        </is>
      </c>
      <c r="E935" t="inlineStr">
        <is>
          <t>BORLÄNGE</t>
        </is>
      </c>
      <c r="G935" t="n">
        <v>1.9</v>
      </c>
      <c r="H935" t="n">
        <v>0</v>
      </c>
      <c r="I935" t="n">
        <v>0</v>
      </c>
      <c r="J935" t="n">
        <v>1</v>
      </c>
      <c r="K935" t="n">
        <v>0</v>
      </c>
      <c r="L935" t="n">
        <v>0</v>
      </c>
      <c r="M935" t="n">
        <v>0</v>
      </c>
      <c r="N935" t="n">
        <v>0</v>
      </c>
      <c r="O935" t="n">
        <v>1</v>
      </c>
      <c r="P935" t="n">
        <v>0</v>
      </c>
      <c r="Q935" t="n">
        <v>1</v>
      </c>
      <c r="R935" s="2" t="inlineStr">
        <is>
          <t>Ullticka</t>
        </is>
      </c>
      <c r="S935">
        <f>HYPERLINK("https://klasma.github.io/Logging_2081/artfynd/A 58609-2023 artfynd.xlsx", "A 58609-2023")</f>
        <v/>
      </c>
      <c r="T935">
        <f>HYPERLINK("https://klasma.github.io/Logging_2081/kartor/A 58609-2023 karta.png", "A 58609-2023")</f>
        <v/>
      </c>
      <c r="V935">
        <f>HYPERLINK("https://klasma.github.io/Logging_2081/klagomål/A 58609-2023 FSC-klagomål.docx", "A 58609-2023")</f>
        <v/>
      </c>
      <c r="W935">
        <f>HYPERLINK("https://klasma.github.io/Logging_2081/klagomålsmail/A 58609-2023 FSC-klagomål mail.docx", "A 58609-2023")</f>
        <v/>
      </c>
      <c r="X935">
        <f>HYPERLINK("https://klasma.github.io/Logging_2081/tillsyn/A 58609-2023 tillsynsbegäran.docx", "A 58609-2023")</f>
        <v/>
      </c>
      <c r="Y935">
        <f>HYPERLINK("https://klasma.github.io/Logging_2081/tillsynsmail/A 58609-2023 tillsynsbegäran mail.docx", "A 58609-2023")</f>
        <v/>
      </c>
    </row>
    <row r="936" ht="15" customHeight="1">
      <c r="A936" t="inlineStr">
        <is>
          <t>A 59205-2023</t>
        </is>
      </c>
      <c r="B936" s="1" t="n">
        <v>45251</v>
      </c>
      <c r="C936" s="1" t="n">
        <v>45706</v>
      </c>
      <c r="D936" t="inlineStr">
        <is>
          <t>DALARNAS LÄN</t>
        </is>
      </c>
      <c r="E936" t="inlineStr">
        <is>
          <t>LEKSAND</t>
        </is>
      </c>
      <c r="G936" t="n">
        <v>1.9</v>
      </c>
      <c r="H936" t="n">
        <v>1</v>
      </c>
      <c r="I936" t="n">
        <v>0</v>
      </c>
      <c r="J936" t="n">
        <v>0</v>
      </c>
      <c r="K936" t="n">
        <v>0</v>
      </c>
      <c r="L936" t="n">
        <v>0</v>
      </c>
      <c r="M936" t="n">
        <v>0</v>
      </c>
      <c r="N936" t="n">
        <v>0</v>
      </c>
      <c r="O936" t="n">
        <v>0</v>
      </c>
      <c r="P936" t="n">
        <v>0</v>
      </c>
      <c r="Q936" t="n">
        <v>1</v>
      </c>
      <c r="R936" s="2" t="inlineStr">
        <is>
          <t>Revlummer</t>
        </is>
      </c>
      <c r="S936">
        <f>HYPERLINK("https://klasma.github.io/Logging_2029/artfynd/A 59205-2023 artfynd.xlsx", "A 59205-2023")</f>
        <v/>
      </c>
      <c r="T936">
        <f>HYPERLINK("https://klasma.github.io/Logging_2029/kartor/A 59205-2023 karta.png", "A 59205-2023")</f>
        <v/>
      </c>
      <c r="U936">
        <f>HYPERLINK("https://klasma.github.io/Logging_2029/knärot/A 59205-2023 karta knärot.png", "A 59205-2023")</f>
        <v/>
      </c>
      <c r="V936">
        <f>HYPERLINK("https://klasma.github.io/Logging_2029/klagomål/A 59205-2023 FSC-klagomål.docx", "A 59205-2023")</f>
        <v/>
      </c>
      <c r="W936">
        <f>HYPERLINK("https://klasma.github.io/Logging_2029/klagomålsmail/A 59205-2023 FSC-klagomål mail.docx", "A 59205-2023")</f>
        <v/>
      </c>
      <c r="X936">
        <f>HYPERLINK("https://klasma.github.io/Logging_2029/tillsyn/A 59205-2023 tillsynsbegäran.docx", "A 59205-2023")</f>
        <v/>
      </c>
      <c r="Y936">
        <f>HYPERLINK("https://klasma.github.io/Logging_2029/tillsynsmail/A 59205-2023 tillsynsbegäran mail.docx", "A 59205-2023")</f>
        <v/>
      </c>
    </row>
    <row r="937" ht="15" customHeight="1">
      <c r="A937" t="inlineStr">
        <is>
          <t>A 59376-2023</t>
        </is>
      </c>
      <c r="B937" s="1" t="n">
        <v>45253</v>
      </c>
      <c r="C937" s="1" t="n">
        <v>45706</v>
      </c>
      <c r="D937" t="inlineStr">
        <is>
          <t>DALARNAS LÄN</t>
        </is>
      </c>
      <c r="E937" t="inlineStr">
        <is>
          <t>HEDEMORA</t>
        </is>
      </c>
      <c r="F937" t="inlineStr">
        <is>
          <t>Sveaskog</t>
        </is>
      </c>
      <c r="G937" t="n">
        <v>2.4</v>
      </c>
      <c r="H937" t="n">
        <v>1</v>
      </c>
      <c r="I937" t="n">
        <v>0</v>
      </c>
      <c r="J937" t="n">
        <v>1</v>
      </c>
      <c r="K937" t="n">
        <v>0</v>
      </c>
      <c r="L937" t="n">
        <v>0</v>
      </c>
      <c r="M937" t="n">
        <v>0</v>
      </c>
      <c r="N937" t="n">
        <v>0</v>
      </c>
      <c r="O937" t="n">
        <v>1</v>
      </c>
      <c r="P937" t="n">
        <v>0</v>
      </c>
      <c r="Q937" t="n">
        <v>1</v>
      </c>
      <c r="R937" s="2" t="inlineStr">
        <is>
          <t>Spillkråka</t>
        </is>
      </c>
      <c r="S937">
        <f>HYPERLINK("https://klasma.github.io/Logging_2083/artfynd/A 59376-2023 artfynd.xlsx", "A 59376-2023")</f>
        <v/>
      </c>
      <c r="T937">
        <f>HYPERLINK("https://klasma.github.io/Logging_2083/kartor/A 59376-2023 karta.png", "A 59376-2023")</f>
        <v/>
      </c>
      <c r="V937">
        <f>HYPERLINK("https://klasma.github.io/Logging_2083/klagomål/A 59376-2023 FSC-klagomål.docx", "A 59376-2023")</f>
        <v/>
      </c>
      <c r="W937">
        <f>HYPERLINK("https://klasma.github.io/Logging_2083/klagomålsmail/A 59376-2023 FSC-klagomål mail.docx", "A 59376-2023")</f>
        <v/>
      </c>
      <c r="X937">
        <f>HYPERLINK("https://klasma.github.io/Logging_2083/tillsyn/A 59376-2023 tillsynsbegäran.docx", "A 59376-2023")</f>
        <v/>
      </c>
      <c r="Y937">
        <f>HYPERLINK("https://klasma.github.io/Logging_2083/tillsynsmail/A 59376-2023 tillsynsbegäran mail.docx", "A 59376-2023")</f>
        <v/>
      </c>
      <c r="Z937">
        <f>HYPERLINK("https://klasma.github.io/Logging_2083/fåglar/A 59376-2023 prioriterade fågelarter.docx", "A 59376-2023")</f>
        <v/>
      </c>
    </row>
    <row r="938" ht="15" customHeight="1">
      <c r="A938" t="inlineStr">
        <is>
          <t>A 59377-2023</t>
        </is>
      </c>
      <c r="B938" s="1" t="n">
        <v>45253</v>
      </c>
      <c r="C938" s="1" t="n">
        <v>45706</v>
      </c>
      <c r="D938" t="inlineStr">
        <is>
          <t>DALARNAS LÄN</t>
        </is>
      </c>
      <c r="E938" t="inlineStr">
        <is>
          <t>HEDEMORA</t>
        </is>
      </c>
      <c r="F938" t="inlineStr">
        <is>
          <t>Sveaskog</t>
        </is>
      </c>
      <c r="G938" t="n">
        <v>4.6</v>
      </c>
      <c r="H938" t="n">
        <v>0</v>
      </c>
      <c r="I938" t="n">
        <v>0</v>
      </c>
      <c r="J938" t="n">
        <v>1</v>
      </c>
      <c r="K938" t="n">
        <v>0</v>
      </c>
      <c r="L938" t="n">
        <v>0</v>
      </c>
      <c r="M938" t="n">
        <v>0</v>
      </c>
      <c r="N938" t="n">
        <v>0</v>
      </c>
      <c r="O938" t="n">
        <v>1</v>
      </c>
      <c r="P938" t="n">
        <v>0</v>
      </c>
      <c r="Q938" t="n">
        <v>1</v>
      </c>
      <c r="R938" s="2" t="inlineStr">
        <is>
          <t>Ullticka</t>
        </is>
      </c>
      <c r="S938">
        <f>HYPERLINK("https://klasma.github.io/Logging_2083/artfynd/A 59377-2023 artfynd.xlsx", "A 59377-2023")</f>
        <v/>
      </c>
      <c r="T938">
        <f>HYPERLINK("https://klasma.github.io/Logging_2083/kartor/A 59377-2023 karta.png", "A 59377-2023")</f>
        <v/>
      </c>
      <c r="V938">
        <f>HYPERLINK("https://klasma.github.io/Logging_2083/klagomål/A 59377-2023 FSC-klagomål.docx", "A 59377-2023")</f>
        <v/>
      </c>
      <c r="W938">
        <f>HYPERLINK("https://klasma.github.io/Logging_2083/klagomålsmail/A 59377-2023 FSC-klagomål mail.docx", "A 59377-2023")</f>
        <v/>
      </c>
      <c r="X938">
        <f>HYPERLINK("https://klasma.github.io/Logging_2083/tillsyn/A 59377-2023 tillsynsbegäran.docx", "A 59377-2023")</f>
        <v/>
      </c>
      <c r="Y938">
        <f>HYPERLINK("https://klasma.github.io/Logging_2083/tillsynsmail/A 59377-2023 tillsynsbegäran mail.docx", "A 59377-2023")</f>
        <v/>
      </c>
    </row>
    <row r="939" ht="15" customHeight="1">
      <c r="A939" t="inlineStr">
        <is>
          <t>A 59447-2023</t>
        </is>
      </c>
      <c r="B939" s="1" t="n">
        <v>45254</v>
      </c>
      <c r="C939" s="1" t="n">
        <v>45706</v>
      </c>
      <c r="D939" t="inlineStr">
        <is>
          <t>DALARNAS LÄN</t>
        </is>
      </c>
      <c r="E939" t="inlineStr">
        <is>
          <t>FALUN</t>
        </is>
      </c>
      <c r="F939" t="inlineStr">
        <is>
          <t>Bergvik skog väst AB</t>
        </is>
      </c>
      <c r="G939" t="n">
        <v>50.5</v>
      </c>
      <c r="H939" t="n">
        <v>1</v>
      </c>
      <c r="I939" t="n">
        <v>0</v>
      </c>
      <c r="J939" t="n">
        <v>0</v>
      </c>
      <c r="K939" t="n">
        <v>0</v>
      </c>
      <c r="L939" t="n">
        <v>0</v>
      </c>
      <c r="M939" t="n">
        <v>0</v>
      </c>
      <c r="N939" t="n">
        <v>0</v>
      </c>
      <c r="O939" t="n">
        <v>0</v>
      </c>
      <c r="P939" t="n">
        <v>0</v>
      </c>
      <c r="Q939" t="n">
        <v>1</v>
      </c>
      <c r="R939" s="2" t="inlineStr">
        <is>
          <t>Tjäder</t>
        </is>
      </c>
      <c r="S939">
        <f>HYPERLINK("https://klasma.github.io/Logging_2080/artfynd/A 59447-2023 artfynd.xlsx", "A 59447-2023")</f>
        <v/>
      </c>
      <c r="T939">
        <f>HYPERLINK("https://klasma.github.io/Logging_2080/kartor/A 59447-2023 karta.png", "A 59447-2023")</f>
        <v/>
      </c>
      <c r="V939">
        <f>HYPERLINK("https://klasma.github.io/Logging_2080/klagomål/A 59447-2023 FSC-klagomål.docx", "A 59447-2023")</f>
        <v/>
      </c>
      <c r="W939">
        <f>HYPERLINK("https://klasma.github.io/Logging_2080/klagomålsmail/A 59447-2023 FSC-klagomål mail.docx", "A 59447-2023")</f>
        <v/>
      </c>
      <c r="X939">
        <f>HYPERLINK("https://klasma.github.io/Logging_2080/tillsyn/A 59447-2023 tillsynsbegäran.docx", "A 59447-2023")</f>
        <v/>
      </c>
      <c r="Y939">
        <f>HYPERLINK("https://klasma.github.io/Logging_2080/tillsynsmail/A 59447-2023 tillsynsbegäran mail.docx", "A 59447-2023")</f>
        <v/>
      </c>
      <c r="Z939">
        <f>HYPERLINK("https://klasma.github.io/Logging_2080/fåglar/A 59447-2023 prioriterade fågelarter.docx", "A 59447-2023")</f>
        <v/>
      </c>
    </row>
    <row r="940" ht="15" customHeight="1">
      <c r="A940" t="inlineStr">
        <is>
          <t>A 59751-2023</t>
        </is>
      </c>
      <c r="B940" s="1" t="n">
        <v>45257</v>
      </c>
      <c r="C940" s="1" t="n">
        <v>45706</v>
      </c>
      <c r="D940" t="inlineStr">
        <is>
          <t>DALARNAS LÄN</t>
        </is>
      </c>
      <c r="E940" t="inlineStr">
        <is>
          <t>HEDEMORA</t>
        </is>
      </c>
      <c r="F940" t="inlineStr">
        <is>
          <t>Sveaskog</t>
        </is>
      </c>
      <c r="G940" t="n">
        <v>0.7</v>
      </c>
      <c r="H940" t="n">
        <v>0</v>
      </c>
      <c r="I940" t="n">
        <v>1</v>
      </c>
      <c r="J940" t="n">
        <v>0</v>
      </c>
      <c r="K940" t="n">
        <v>0</v>
      </c>
      <c r="L940" t="n">
        <v>0</v>
      </c>
      <c r="M940" t="n">
        <v>0</v>
      </c>
      <c r="N940" t="n">
        <v>0</v>
      </c>
      <c r="O940" t="n">
        <v>0</v>
      </c>
      <c r="P940" t="n">
        <v>0</v>
      </c>
      <c r="Q940" t="n">
        <v>1</v>
      </c>
      <c r="R940" s="2" t="inlineStr">
        <is>
          <t>Svavelriska</t>
        </is>
      </c>
      <c r="S940">
        <f>HYPERLINK("https://klasma.github.io/Logging_2083/artfynd/A 59751-2023 artfynd.xlsx", "A 59751-2023")</f>
        <v/>
      </c>
      <c r="T940">
        <f>HYPERLINK("https://klasma.github.io/Logging_2083/kartor/A 59751-2023 karta.png", "A 59751-2023")</f>
        <v/>
      </c>
      <c r="V940">
        <f>HYPERLINK("https://klasma.github.io/Logging_2083/klagomål/A 59751-2023 FSC-klagomål.docx", "A 59751-2023")</f>
        <v/>
      </c>
      <c r="W940">
        <f>HYPERLINK("https://klasma.github.io/Logging_2083/klagomålsmail/A 59751-2023 FSC-klagomål mail.docx", "A 59751-2023")</f>
        <v/>
      </c>
      <c r="X940">
        <f>HYPERLINK("https://klasma.github.io/Logging_2083/tillsyn/A 59751-2023 tillsynsbegäran.docx", "A 59751-2023")</f>
        <v/>
      </c>
      <c r="Y940">
        <f>HYPERLINK("https://klasma.github.io/Logging_2083/tillsynsmail/A 59751-2023 tillsynsbegäran mail.docx", "A 59751-2023")</f>
        <v/>
      </c>
    </row>
    <row r="941" ht="15" customHeight="1">
      <c r="A941" t="inlineStr">
        <is>
          <t>A 60132-2023</t>
        </is>
      </c>
      <c r="B941" s="1" t="n">
        <v>45258</v>
      </c>
      <c r="C941" s="1" t="n">
        <v>45706</v>
      </c>
      <c r="D941" t="inlineStr">
        <is>
          <t>DALARNAS LÄN</t>
        </is>
      </c>
      <c r="E941" t="inlineStr">
        <is>
          <t>LEKSAND</t>
        </is>
      </c>
      <c r="G941" t="n">
        <v>1</v>
      </c>
      <c r="H941" t="n">
        <v>0</v>
      </c>
      <c r="I941" t="n">
        <v>0</v>
      </c>
      <c r="J941" t="n">
        <v>1</v>
      </c>
      <c r="K941" t="n">
        <v>0</v>
      </c>
      <c r="L941" t="n">
        <v>0</v>
      </c>
      <c r="M941" t="n">
        <v>0</v>
      </c>
      <c r="N941" t="n">
        <v>0</v>
      </c>
      <c r="O941" t="n">
        <v>1</v>
      </c>
      <c r="P941" t="n">
        <v>0</v>
      </c>
      <c r="Q941" t="n">
        <v>1</v>
      </c>
      <c r="R941" s="2" t="inlineStr">
        <is>
          <t>Garnlav</t>
        </is>
      </c>
      <c r="S941">
        <f>HYPERLINK("https://klasma.github.io/Logging_2029/artfynd/A 60132-2023 artfynd.xlsx", "A 60132-2023")</f>
        <v/>
      </c>
      <c r="T941">
        <f>HYPERLINK("https://klasma.github.io/Logging_2029/kartor/A 60132-2023 karta.png", "A 60132-2023")</f>
        <v/>
      </c>
      <c r="V941">
        <f>HYPERLINK("https://klasma.github.io/Logging_2029/klagomål/A 60132-2023 FSC-klagomål.docx", "A 60132-2023")</f>
        <v/>
      </c>
      <c r="W941">
        <f>HYPERLINK("https://klasma.github.io/Logging_2029/klagomålsmail/A 60132-2023 FSC-klagomål mail.docx", "A 60132-2023")</f>
        <v/>
      </c>
      <c r="X941">
        <f>HYPERLINK("https://klasma.github.io/Logging_2029/tillsyn/A 60132-2023 tillsynsbegäran.docx", "A 60132-2023")</f>
        <v/>
      </c>
      <c r="Y941">
        <f>HYPERLINK("https://klasma.github.io/Logging_2029/tillsynsmail/A 60132-2023 tillsynsbegäran mail.docx", "A 60132-2023")</f>
        <v/>
      </c>
    </row>
    <row r="942" ht="15" customHeight="1">
      <c r="A942" t="inlineStr">
        <is>
          <t>A 60238-2023</t>
        </is>
      </c>
      <c r="B942" s="1" t="n">
        <v>45258</v>
      </c>
      <c r="C942" s="1" t="n">
        <v>45706</v>
      </c>
      <c r="D942" t="inlineStr">
        <is>
          <t>DALARNAS LÄN</t>
        </is>
      </c>
      <c r="E942" t="inlineStr">
        <is>
          <t>LEKSAND</t>
        </is>
      </c>
      <c r="G942" t="n">
        <v>3.2</v>
      </c>
      <c r="H942" t="n">
        <v>1</v>
      </c>
      <c r="I942" t="n">
        <v>0</v>
      </c>
      <c r="J942" t="n">
        <v>0</v>
      </c>
      <c r="K942" t="n">
        <v>0</v>
      </c>
      <c r="L942" t="n">
        <v>0</v>
      </c>
      <c r="M942" t="n">
        <v>0</v>
      </c>
      <c r="N942" t="n">
        <v>0</v>
      </c>
      <c r="O942" t="n">
        <v>0</v>
      </c>
      <c r="P942" t="n">
        <v>0</v>
      </c>
      <c r="Q942" t="n">
        <v>1</v>
      </c>
      <c r="R942" s="2" t="inlineStr">
        <is>
          <t>Blåsippa</t>
        </is>
      </c>
      <c r="S942">
        <f>HYPERLINK("https://klasma.github.io/Logging_2029/artfynd/A 60238-2023 artfynd.xlsx", "A 60238-2023")</f>
        <v/>
      </c>
      <c r="T942">
        <f>HYPERLINK("https://klasma.github.io/Logging_2029/kartor/A 60238-2023 karta.png", "A 60238-2023")</f>
        <v/>
      </c>
      <c r="V942">
        <f>HYPERLINK("https://klasma.github.io/Logging_2029/klagomål/A 60238-2023 FSC-klagomål.docx", "A 60238-2023")</f>
        <v/>
      </c>
      <c r="W942">
        <f>HYPERLINK("https://klasma.github.io/Logging_2029/klagomålsmail/A 60238-2023 FSC-klagomål mail.docx", "A 60238-2023")</f>
        <v/>
      </c>
      <c r="X942">
        <f>HYPERLINK("https://klasma.github.io/Logging_2029/tillsyn/A 60238-2023 tillsynsbegäran.docx", "A 60238-2023")</f>
        <v/>
      </c>
      <c r="Y942">
        <f>HYPERLINK("https://klasma.github.io/Logging_2029/tillsynsmail/A 60238-2023 tillsynsbegäran mail.docx", "A 60238-2023")</f>
        <v/>
      </c>
    </row>
    <row r="943" ht="15" customHeight="1">
      <c r="A943" t="inlineStr">
        <is>
          <t>A 60150-2023</t>
        </is>
      </c>
      <c r="B943" s="1" t="n">
        <v>45258</v>
      </c>
      <c r="C943" s="1" t="n">
        <v>45706</v>
      </c>
      <c r="D943" t="inlineStr">
        <is>
          <t>DALARNAS LÄN</t>
        </is>
      </c>
      <c r="E943" t="inlineStr">
        <is>
          <t>BORLÄNGE</t>
        </is>
      </c>
      <c r="G943" t="n">
        <v>2.7</v>
      </c>
      <c r="H943" t="n">
        <v>0</v>
      </c>
      <c r="I943" t="n">
        <v>1</v>
      </c>
      <c r="J943" t="n">
        <v>0</v>
      </c>
      <c r="K943" t="n">
        <v>0</v>
      </c>
      <c r="L943" t="n">
        <v>0</v>
      </c>
      <c r="M943" t="n">
        <v>0</v>
      </c>
      <c r="N943" t="n">
        <v>0</v>
      </c>
      <c r="O943" t="n">
        <v>0</v>
      </c>
      <c r="P943" t="n">
        <v>0</v>
      </c>
      <c r="Q943" t="n">
        <v>1</v>
      </c>
      <c r="R943" s="2" t="inlineStr">
        <is>
          <t>Trådticka</t>
        </is>
      </c>
      <c r="S943">
        <f>HYPERLINK("https://klasma.github.io/Logging_2081/artfynd/A 60150-2023 artfynd.xlsx", "A 60150-2023")</f>
        <v/>
      </c>
      <c r="T943">
        <f>HYPERLINK("https://klasma.github.io/Logging_2081/kartor/A 60150-2023 karta.png", "A 60150-2023")</f>
        <v/>
      </c>
      <c r="V943">
        <f>HYPERLINK("https://klasma.github.io/Logging_2081/klagomål/A 60150-2023 FSC-klagomål.docx", "A 60150-2023")</f>
        <v/>
      </c>
      <c r="W943">
        <f>HYPERLINK("https://klasma.github.io/Logging_2081/klagomålsmail/A 60150-2023 FSC-klagomål mail.docx", "A 60150-2023")</f>
        <v/>
      </c>
      <c r="X943">
        <f>HYPERLINK("https://klasma.github.io/Logging_2081/tillsyn/A 60150-2023 tillsynsbegäran.docx", "A 60150-2023")</f>
        <v/>
      </c>
      <c r="Y943">
        <f>HYPERLINK("https://klasma.github.io/Logging_2081/tillsynsmail/A 60150-2023 tillsynsbegäran mail.docx", "A 60150-2023")</f>
        <v/>
      </c>
    </row>
    <row r="944" ht="15" customHeight="1">
      <c r="A944" t="inlineStr">
        <is>
          <t>A 61850-2023</t>
        </is>
      </c>
      <c r="B944" s="1" t="n">
        <v>45266</v>
      </c>
      <c r="C944" s="1" t="n">
        <v>45706</v>
      </c>
      <c r="D944" t="inlineStr">
        <is>
          <t>DALARNAS LÄN</t>
        </is>
      </c>
      <c r="E944" t="inlineStr">
        <is>
          <t>AVESTA</t>
        </is>
      </c>
      <c r="G944" t="n">
        <v>2.2</v>
      </c>
      <c r="H944" t="n">
        <v>1</v>
      </c>
      <c r="I944" t="n">
        <v>0</v>
      </c>
      <c r="J944" t="n">
        <v>0</v>
      </c>
      <c r="K944" t="n">
        <v>0</v>
      </c>
      <c r="L944" t="n">
        <v>0</v>
      </c>
      <c r="M944" t="n">
        <v>0</v>
      </c>
      <c r="N944" t="n">
        <v>0</v>
      </c>
      <c r="O944" t="n">
        <v>0</v>
      </c>
      <c r="P944" t="n">
        <v>0</v>
      </c>
      <c r="Q944" t="n">
        <v>1</v>
      </c>
      <c r="R944" s="2" t="inlineStr">
        <is>
          <t>Mattlummer</t>
        </is>
      </c>
      <c r="S944">
        <f>HYPERLINK("https://klasma.github.io/Logging_2084/artfynd/A 61850-2023 artfynd.xlsx", "A 61850-2023")</f>
        <v/>
      </c>
      <c r="T944">
        <f>HYPERLINK("https://klasma.github.io/Logging_2084/kartor/A 61850-2023 karta.png", "A 61850-2023")</f>
        <v/>
      </c>
      <c r="U944">
        <f>HYPERLINK("https://klasma.github.io/Logging_2084/knärot/A 61850-2023 karta knärot.png", "A 61850-2023")</f>
        <v/>
      </c>
      <c r="V944">
        <f>HYPERLINK("https://klasma.github.io/Logging_2084/klagomål/A 61850-2023 FSC-klagomål.docx", "A 61850-2023")</f>
        <v/>
      </c>
      <c r="W944">
        <f>HYPERLINK("https://klasma.github.io/Logging_2084/klagomålsmail/A 61850-2023 FSC-klagomål mail.docx", "A 61850-2023")</f>
        <v/>
      </c>
      <c r="X944">
        <f>HYPERLINK("https://klasma.github.io/Logging_2084/tillsyn/A 61850-2023 tillsynsbegäran.docx", "A 61850-2023")</f>
        <v/>
      </c>
      <c r="Y944">
        <f>HYPERLINK("https://klasma.github.io/Logging_2084/tillsynsmail/A 61850-2023 tillsynsbegäran mail.docx", "A 61850-2023")</f>
        <v/>
      </c>
    </row>
    <row r="945" ht="15" customHeight="1">
      <c r="A945" t="inlineStr">
        <is>
          <t>A 63542-2023</t>
        </is>
      </c>
      <c r="B945" s="1" t="n">
        <v>45275</v>
      </c>
      <c r="C945" s="1" t="n">
        <v>45706</v>
      </c>
      <c r="D945" t="inlineStr">
        <is>
          <t>DALARNAS LÄN</t>
        </is>
      </c>
      <c r="E945" t="inlineStr">
        <is>
          <t>HEDEMORA</t>
        </is>
      </c>
      <c r="G945" t="n">
        <v>2.1</v>
      </c>
      <c r="H945" t="n">
        <v>1</v>
      </c>
      <c r="I945" t="n">
        <v>0</v>
      </c>
      <c r="J945" t="n">
        <v>1</v>
      </c>
      <c r="K945" t="n">
        <v>0</v>
      </c>
      <c r="L945" t="n">
        <v>0</v>
      </c>
      <c r="M945" t="n">
        <v>0</v>
      </c>
      <c r="N945" t="n">
        <v>0</v>
      </c>
      <c r="O945" t="n">
        <v>1</v>
      </c>
      <c r="P945" t="n">
        <v>0</v>
      </c>
      <c r="Q945" t="n">
        <v>1</v>
      </c>
      <c r="R945" s="2" t="inlineStr">
        <is>
          <t>Spillkråka</t>
        </is>
      </c>
      <c r="S945">
        <f>HYPERLINK("https://klasma.github.io/Logging_2083/artfynd/A 63542-2023 artfynd.xlsx", "A 63542-2023")</f>
        <v/>
      </c>
      <c r="T945">
        <f>HYPERLINK("https://klasma.github.io/Logging_2083/kartor/A 63542-2023 karta.png", "A 63542-2023")</f>
        <v/>
      </c>
      <c r="V945">
        <f>HYPERLINK("https://klasma.github.io/Logging_2083/klagomål/A 63542-2023 FSC-klagomål.docx", "A 63542-2023")</f>
        <v/>
      </c>
      <c r="W945">
        <f>HYPERLINK("https://klasma.github.io/Logging_2083/klagomålsmail/A 63542-2023 FSC-klagomål mail.docx", "A 63542-2023")</f>
        <v/>
      </c>
      <c r="X945">
        <f>HYPERLINK("https://klasma.github.io/Logging_2083/tillsyn/A 63542-2023 tillsynsbegäran.docx", "A 63542-2023")</f>
        <v/>
      </c>
      <c r="Y945">
        <f>HYPERLINK("https://klasma.github.io/Logging_2083/tillsynsmail/A 63542-2023 tillsynsbegäran mail.docx", "A 63542-2023")</f>
        <v/>
      </c>
      <c r="Z945">
        <f>HYPERLINK("https://klasma.github.io/Logging_2083/fåglar/A 63542-2023 prioriterade fågelarter.docx", "A 63542-2023")</f>
        <v/>
      </c>
    </row>
    <row r="946" ht="15" customHeight="1">
      <c r="A946" t="inlineStr">
        <is>
          <t>A 164-2024</t>
        </is>
      </c>
      <c r="B946" s="1" t="n">
        <v>45294</v>
      </c>
      <c r="C946" s="1" t="n">
        <v>45706</v>
      </c>
      <c r="D946" t="inlineStr">
        <is>
          <t>DALARNAS LÄN</t>
        </is>
      </c>
      <c r="E946" t="inlineStr">
        <is>
          <t>LEKSAND</t>
        </is>
      </c>
      <c r="G946" t="n">
        <v>3.7</v>
      </c>
      <c r="H946" t="n">
        <v>1</v>
      </c>
      <c r="I946" t="n">
        <v>0</v>
      </c>
      <c r="J946" t="n">
        <v>1</v>
      </c>
      <c r="K946" t="n">
        <v>0</v>
      </c>
      <c r="L946" t="n">
        <v>0</v>
      </c>
      <c r="M946" t="n">
        <v>0</v>
      </c>
      <c r="N946" t="n">
        <v>0</v>
      </c>
      <c r="O946" t="n">
        <v>1</v>
      </c>
      <c r="P946" t="n">
        <v>0</v>
      </c>
      <c r="Q946" t="n">
        <v>1</v>
      </c>
      <c r="R946" s="2" t="inlineStr">
        <is>
          <t>Järpe</t>
        </is>
      </c>
      <c r="S946">
        <f>HYPERLINK("https://klasma.github.io/Logging_2029/artfynd/A 164-2024 artfynd.xlsx", "A 164-2024")</f>
        <v/>
      </c>
      <c r="T946">
        <f>HYPERLINK("https://klasma.github.io/Logging_2029/kartor/A 164-2024 karta.png", "A 164-2024")</f>
        <v/>
      </c>
      <c r="V946">
        <f>HYPERLINK("https://klasma.github.io/Logging_2029/klagomål/A 164-2024 FSC-klagomål.docx", "A 164-2024")</f>
        <v/>
      </c>
      <c r="W946">
        <f>HYPERLINK("https://klasma.github.io/Logging_2029/klagomålsmail/A 164-2024 FSC-klagomål mail.docx", "A 164-2024")</f>
        <v/>
      </c>
      <c r="X946">
        <f>HYPERLINK("https://klasma.github.io/Logging_2029/tillsyn/A 164-2024 tillsynsbegäran.docx", "A 164-2024")</f>
        <v/>
      </c>
      <c r="Y946">
        <f>HYPERLINK("https://klasma.github.io/Logging_2029/tillsynsmail/A 164-2024 tillsynsbegäran mail.docx", "A 164-2024")</f>
        <v/>
      </c>
      <c r="Z946">
        <f>HYPERLINK("https://klasma.github.io/Logging_2029/fåglar/A 164-2024 prioriterade fågelarter.docx", "A 164-2024")</f>
        <v/>
      </c>
    </row>
    <row r="947" ht="15" customHeight="1">
      <c r="A947" t="inlineStr">
        <is>
          <t>A 265-2024</t>
        </is>
      </c>
      <c r="B947" s="1" t="n">
        <v>45295</v>
      </c>
      <c r="C947" s="1" t="n">
        <v>45706</v>
      </c>
      <c r="D947" t="inlineStr">
        <is>
          <t>DALARNAS LÄN</t>
        </is>
      </c>
      <c r="E947" t="inlineStr">
        <is>
          <t>VANSBRO</t>
        </is>
      </c>
      <c r="G947" t="n">
        <v>1.8</v>
      </c>
      <c r="H947" t="n">
        <v>0</v>
      </c>
      <c r="I947" t="n">
        <v>1</v>
      </c>
      <c r="J947" t="n">
        <v>0</v>
      </c>
      <c r="K947" t="n">
        <v>0</v>
      </c>
      <c r="L947" t="n">
        <v>0</v>
      </c>
      <c r="M947" t="n">
        <v>0</v>
      </c>
      <c r="N947" t="n">
        <v>0</v>
      </c>
      <c r="O947" t="n">
        <v>0</v>
      </c>
      <c r="P947" t="n">
        <v>0</v>
      </c>
      <c r="Q947" t="n">
        <v>1</v>
      </c>
      <c r="R947" s="2" t="inlineStr">
        <is>
          <t>Dropptaggsvamp</t>
        </is>
      </c>
      <c r="S947">
        <f>HYPERLINK("https://klasma.github.io/Logging_2021/artfynd/A 265-2024 artfynd.xlsx", "A 265-2024")</f>
        <v/>
      </c>
      <c r="T947">
        <f>HYPERLINK("https://klasma.github.io/Logging_2021/kartor/A 265-2024 karta.png", "A 265-2024")</f>
        <v/>
      </c>
      <c r="V947">
        <f>HYPERLINK("https://klasma.github.io/Logging_2021/klagomål/A 265-2024 FSC-klagomål.docx", "A 265-2024")</f>
        <v/>
      </c>
      <c r="W947">
        <f>HYPERLINK("https://klasma.github.io/Logging_2021/klagomålsmail/A 265-2024 FSC-klagomål mail.docx", "A 265-2024")</f>
        <v/>
      </c>
      <c r="X947">
        <f>HYPERLINK("https://klasma.github.io/Logging_2021/tillsyn/A 265-2024 tillsynsbegäran.docx", "A 265-2024")</f>
        <v/>
      </c>
      <c r="Y947">
        <f>HYPERLINK("https://klasma.github.io/Logging_2021/tillsynsmail/A 265-2024 tillsynsbegäran mail.docx", "A 265-2024")</f>
        <v/>
      </c>
    </row>
    <row r="948" ht="15" customHeight="1">
      <c r="A948" t="inlineStr">
        <is>
          <t>A 570-2024</t>
        </is>
      </c>
      <c r="B948" s="1" t="n">
        <v>45299</v>
      </c>
      <c r="C948" s="1" t="n">
        <v>45706</v>
      </c>
      <c r="D948" t="inlineStr">
        <is>
          <t>DALARNAS LÄN</t>
        </is>
      </c>
      <c r="E948" t="inlineStr">
        <is>
          <t>SÄTER</t>
        </is>
      </c>
      <c r="F948" t="inlineStr">
        <is>
          <t>Kommuner</t>
        </is>
      </c>
      <c r="G948" t="n">
        <v>2.8</v>
      </c>
      <c r="H948" t="n">
        <v>0</v>
      </c>
      <c r="I948" t="n">
        <v>1</v>
      </c>
      <c r="J948" t="n">
        <v>0</v>
      </c>
      <c r="K948" t="n">
        <v>0</v>
      </c>
      <c r="L948" t="n">
        <v>0</v>
      </c>
      <c r="M948" t="n">
        <v>0</v>
      </c>
      <c r="N948" t="n">
        <v>0</v>
      </c>
      <c r="O948" t="n">
        <v>0</v>
      </c>
      <c r="P948" t="n">
        <v>0</v>
      </c>
      <c r="Q948" t="n">
        <v>1</v>
      </c>
      <c r="R948" s="2" t="inlineStr">
        <is>
          <t>Svavelriska</t>
        </is>
      </c>
      <c r="S948">
        <f>HYPERLINK("https://klasma.github.io/Logging_2082/artfynd/A 570-2024 artfynd.xlsx", "A 570-2024")</f>
        <v/>
      </c>
      <c r="T948">
        <f>HYPERLINK("https://klasma.github.io/Logging_2082/kartor/A 570-2024 karta.png", "A 570-2024")</f>
        <v/>
      </c>
      <c r="V948">
        <f>HYPERLINK("https://klasma.github.io/Logging_2082/klagomål/A 570-2024 FSC-klagomål.docx", "A 570-2024")</f>
        <v/>
      </c>
      <c r="W948">
        <f>HYPERLINK("https://klasma.github.io/Logging_2082/klagomålsmail/A 570-2024 FSC-klagomål mail.docx", "A 570-2024")</f>
        <v/>
      </c>
      <c r="X948">
        <f>HYPERLINK("https://klasma.github.io/Logging_2082/tillsyn/A 570-2024 tillsynsbegäran.docx", "A 570-2024")</f>
        <v/>
      </c>
      <c r="Y948">
        <f>HYPERLINK("https://klasma.github.io/Logging_2082/tillsynsmail/A 570-2024 tillsynsbegäran mail.docx", "A 570-2024")</f>
        <v/>
      </c>
    </row>
    <row r="949" ht="15" customHeight="1">
      <c r="A949" t="inlineStr">
        <is>
          <t>A 988-2024</t>
        </is>
      </c>
      <c r="B949" s="1" t="n">
        <v>45301</v>
      </c>
      <c r="C949" s="1" t="n">
        <v>45706</v>
      </c>
      <c r="D949" t="inlineStr">
        <is>
          <t>DALARNAS LÄN</t>
        </is>
      </c>
      <c r="E949" t="inlineStr">
        <is>
          <t>LEKSAND</t>
        </is>
      </c>
      <c r="G949" t="n">
        <v>2.2</v>
      </c>
      <c r="H949" t="n">
        <v>1</v>
      </c>
      <c r="I949" t="n">
        <v>0</v>
      </c>
      <c r="J949" t="n">
        <v>0</v>
      </c>
      <c r="K949" t="n">
        <v>0</v>
      </c>
      <c r="L949" t="n">
        <v>0</v>
      </c>
      <c r="M949" t="n">
        <v>0</v>
      </c>
      <c r="N949" t="n">
        <v>0</v>
      </c>
      <c r="O949" t="n">
        <v>0</v>
      </c>
      <c r="P949" t="n">
        <v>0</v>
      </c>
      <c r="Q949" t="n">
        <v>1</v>
      </c>
      <c r="R949" s="2" t="inlineStr">
        <is>
          <t>Nattviol</t>
        </is>
      </c>
      <c r="S949">
        <f>HYPERLINK("https://klasma.github.io/Logging_2029/artfynd/A 988-2024 artfynd.xlsx", "A 988-2024")</f>
        <v/>
      </c>
      <c r="T949">
        <f>HYPERLINK("https://klasma.github.io/Logging_2029/kartor/A 988-2024 karta.png", "A 988-2024")</f>
        <v/>
      </c>
      <c r="V949">
        <f>HYPERLINK("https://klasma.github.io/Logging_2029/klagomål/A 988-2024 FSC-klagomål.docx", "A 988-2024")</f>
        <v/>
      </c>
      <c r="W949">
        <f>HYPERLINK("https://klasma.github.io/Logging_2029/klagomålsmail/A 988-2024 FSC-klagomål mail.docx", "A 988-2024")</f>
        <v/>
      </c>
      <c r="X949">
        <f>HYPERLINK("https://klasma.github.io/Logging_2029/tillsyn/A 988-2024 tillsynsbegäran.docx", "A 988-2024")</f>
        <v/>
      </c>
      <c r="Y949">
        <f>HYPERLINK("https://klasma.github.io/Logging_2029/tillsynsmail/A 988-2024 tillsynsbegäran mail.docx", "A 988-2024")</f>
        <v/>
      </c>
    </row>
    <row r="950" ht="15" customHeight="1">
      <c r="A950" t="inlineStr">
        <is>
          <t>A 1751-2024</t>
        </is>
      </c>
      <c r="B950" s="1" t="n">
        <v>45307</v>
      </c>
      <c r="C950" s="1" t="n">
        <v>45706</v>
      </c>
      <c r="D950" t="inlineStr">
        <is>
          <t>DALARNAS LÄN</t>
        </is>
      </c>
      <c r="E950" t="inlineStr">
        <is>
          <t>BORLÄNGE</t>
        </is>
      </c>
      <c r="G950" t="n">
        <v>4.2</v>
      </c>
      <c r="H950" t="n">
        <v>0</v>
      </c>
      <c r="I950" t="n">
        <v>0</v>
      </c>
      <c r="J950" t="n">
        <v>1</v>
      </c>
      <c r="K950" t="n">
        <v>0</v>
      </c>
      <c r="L950" t="n">
        <v>0</v>
      </c>
      <c r="M950" t="n">
        <v>0</v>
      </c>
      <c r="N950" t="n">
        <v>0</v>
      </c>
      <c r="O950" t="n">
        <v>1</v>
      </c>
      <c r="P950" t="n">
        <v>0</v>
      </c>
      <c r="Q950" t="n">
        <v>1</v>
      </c>
      <c r="R950" s="2" t="inlineStr">
        <is>
          <t>Ullticka</t>
        </is>
      </c>
      <c r="S950">
        <f>HYPERLINK("https://klasma.github.io/Logging_2081/artfynd/A 1751-2024 artfynd.xlsx", "A 1751-2024")</f>
        <v/>
      </c>
      <c r="T950">
        <f>HYPERLINK("https://klasma.github.io/Logging_2081/kartor/A 1751-2024 karta.png", "A 1751-2024")</f>
        <v/>
      </c>
      <c r="V950">
        <f>HYPERLINK("https://klasma.github.io/Logging_2081/klagomål/A 1751-2024 FSC-klagomål.docx", "A 1751-2024")</f>
        <v/>
      </c>
      <c r="W950">
        <f>HYPERLINK("https://klasma.github.io/Logging_2081/klagomålsmail/A 1751-2024 FSC-klagomål mail.docx", "A 1751-2024")</f>
        <v/>
      </c>
      <c r="X950">
        <f>HYPERLINK("https://klasma.github.io/Logging_2081/tillsyn/A 1751-2024 tillsynsbegäran.docx", "A 1751-2024")</f>
        <v/>
      </c>
      <c r="Y950">
        <f>HYPERLINK("https://klasma.github.io/Logging_2081/tillsynsmail/A 1751-2024 tillsynsbegäran mail.docx", "A 1751-2024")</f>
        <v/>
      </c>
    </row>
    <row r="951" ht="15" customHeight="1">
      <c r="A951" t="inlineStr">
        <is>
          <t>A 3809-2024</t>
        </is>
      </c>
      <c r="B951" s="1" t="n">
        <v>45321</v>
      </c>
      <c r="C951" s="1" t="n">
        <v>45706</v>
      </c>
      <c r="D951" t="inlineStr">
        <is>
          <t>DALARNAS LÄN</t>
        </is>
      </c>
      <c r="E951" t="inlineStr">
        <is>
          <t>LUDVIKA</t>
        </is>
      </c>
      <c r="G951" t="n">
        <v>0.5</v>
      </c>
      <c r="H951" t="n">
        <v>1</v>
      </c>
      <c r="I951" t="n">
        <v>0</v>
      </c>
      <c r="J951" t="n">
        <v>0</v>
      </c>
      <c r="K951" t="n">
        <v>0</v>
      </c>
      <c r="L951" t="n">
        <v>0</v>
      </c>
      <c r="M951" t="n">
        <v>0</v>
      </c>
      <c r="N951" t="n">
        <v>0</v>
      </c>
      <c r="O951" t="n">
        <v>0</v>
      </c>
      <c r="P951" t="n">
        <v>0</v>
      </c>
      <c r="Q951" t="n">
        <v>1</v>
      </c>
      <c r="R951" s="2" t="inlineStr">
        <is>
          <t>Fläcknycklar</t>
        </is>
      </c>
      <c r="S951">
        <f>HYPERLINK("https://klasma.github.io/Logging_2085/artfynd/A 3809-2024 artfynd.xlsx", "A 3809-2024")</f>
        <v/>
      </c>
      <c r="T951">
        <f>HYPERLINK("https://klasma.github.io/Logging_2085/kartor/A 3809-2024 karta.png", "A 3809-2024")</f>
        <v/>
      </c>
      <c r="V951">
        <f>HYPERLINK("https://klasma.github.io/Logging_2085/klagomål/A 3809-2024 FSC-klagomål.docx", "A 3809-2024")</f>
        <v/>
      </c>
      <c r="W951">
        <f>HYPERLINK("https://klasma.github.io/Logging_2085/klagomålsmail/A 3809-2024 FSC-klagomål mail.docx", "A 3809-2024")</f>
        <v/>
      </c>
      <c r="X951">
        <f>HYPERLINK("https://klasma.github.io/Logging_2085/tillsyn/A 3809-2024 tillsynsbegäran.docx", "A 3809-2024")</f>
        <v/>
      </c>
      <c r="Y951">
        <f>HYPERLINK("https://klasma.github.io/Logging_2085/tillsynsmail/A 3809-2024 tillsynsbegäran mail.docx", "A 3809-2024")</f>
        <v/>
      </c>
    </row>
    <row r="952" ht="15" customHeight="1">
      <c r="A952" t="inlineStr">
        <is>
          <t>A 5299-2024</t>
        </is>
      </c>
      <c r="B952" s="1" t="n">
        <v>45331</v>
      </c>
      <c r="C952" s="1" t="n">
        <v>45706</v>
      </c>
      <c r="D952" t="inlineStr">
        <is>
          <t>DALARNAS LÄN</t>
        </is>
      </c>
      <c r="E952" t="inlineStr">
        <is>
          <t>AVESTA</t>
        </is>
      </c>
      <c r="G952" t="n">
        <v>4.6</v>
      </c>
      <c r="H952" t="n">
        <v>0</v>
      </c>
      <c r="I952" t="n">
        <v>1</v>
      </c>
      <c r="J952" t="n">
        <v>0</v>
      </c>
      <c r="K952" t="n">
        <v>0</v>
      </c>
      <c r="L952" t="n">
        <v>0</v>
      </c>
      <c r="M952" t="n">
        <v>0</v>
      </c>
      <c r="N952" t="n">
        <v>0</v>
      </c>
      <c r="O952" t="n">
        <v>0</v>
      </c>
      <c r="P952" t="n">
        <v>0</v>
      </c>
      <c r="Q952" t="n">
        <v>1</v>
      </c>
      <c r="R952" s="2" t="inlineStr">
        <is>
          <t>Dropptaggsvamp</t>
        </is>
      </c>
      <c r="S952">
        <f>HYPERLINK("https://klasma.github.io/Logging_2084/artfynd/A 5299-2024 artfynd.xlsx", "A 5299-2024")</f>
        <v/>
      </c>
      <c r="T952">
        <f>HYPERLINK("https://klasma.github.io/Logging_2084/kartor/A 5299-2024 karta.png", "A 5299-2024")</f>
        <v/>
      </c>
      <c r="V952">
        <f>HYPERLINK("https://klasma.github.io/Logging_2084/klagomål/A 5299-2024 FSC-klagomål.docx", "A 5299-2024")</f>
        <v/>
      </c>
      <c r="W952">
        <f>HYPERLINK("https://klasma.github.io/Logging_2084/klagomålsmail/A 5299-2024 FSC-klagomål mail.docx", "A 5299-2024")</f>
        <v/>
      </c>
      <c r="X952">
        <f>HYPERLINK("https://klasma.github.io/Logging_2084/tillsyn/A 5299-2024 tillsynsbegäran.docx", "A 5299-2024")</f>
        <v/>
      </c>
      <c r="Y952">
        <f>HYPERLINK("https://klasma.github.io/Logging_2084/tillsynsmail/A 5299-2024 tillsynsbegäran mail.docx", "A 5299-2024")</f>
        <v/>
      </c>
    </row>
    <row r="953" ht="15" customHeight="1">
      <c r="A953" t="inlineStr">
        <is>
          <t>A 5691-2024</t>
        </is>
      </c>
      <c r="B953" s="1" t="n">
        <v>45334</v>
      </c>
      <c r="C953" s="1" t="n">
        <v>45706</v>
      </c>
      <c r="D953" t="inlineStr">
        <is>
          <t>DALARNAS LÄN</t>
        </is>
      </c>
      <c r="E953" t="inlineStr">
        <is>
          <t>MORA</t>
        </is>
      </c>
      <c r="G953" t="n">
        <v>3.7</v>
      </c>
      <c r="H953" t="n">
        <v>1</v>
      </c>
      <c r="I953" t="n">
        <v>0</v>
      </c>
      <c r="J953" t="n">
        <v>0</v>
      </c>
      <c r="K953" t="n">
        <v>0</v>
      </c>
      <c r="L953" t="n">
        <v>0</v>
      </c>
      <c r="M953" t="n">
        <v>0</v>
      </c>
      <c r="N953" t="n">
        <v>0</v>
      </c>
      <c r="O953" t="n">
        <v>0</v>
      </c>
      <c r="P953" t="n">
        <v>0</v>
      </c>
      <c r="Q953" t="n">
        <v>1</v>
      </c>
      <c r="R953" s="2" t="inlineStr">
        <is>
          <t>Blåsippa</t>
        </is>
      </c>
      <c r="S953">
        <f>HYPERLINK("https://klasma.github.io/Logging_2062/artfynd/A 5691-2024 artfynd.xlsx", "A 5691-2024")</f>
        <v/>
      </c>
      <c r="T953">
        <f>HYPERLINK("https://klasma.github.io/Logging_2062/kartor/A 5691-2024 karta.png", "A 5691-2024")</f>
        <v/>
      </c>
      <c r="V953">
        <f>HYPERLINK("https://klasma.github.io/Logging_2062/klagomål/A 5691-2024 FSC-klagomål.docx", "A 5691-2024")</f>
        <v/>
      </c>
      <c r="W953">
        <f>HYPERLINK("https://klasma.github.io/Logging_2062/klagomålsmail/A 5691-2024 FSC-klagomål mail.docx", "A 5691-2024")</f>
        <v/>
      </c>
      <c r="X953">
        <f>HYPERLINK("https://klasma.github.io/Logging_2062/tillsyn/A 5691-2024 tillsynsbegäran.docx", "A 5691-2024")</f>
        <v/>
      </c>
      <c r="Y953">
        <f>HYPERLINK("https://klasma.github.io/Logging_2062/tillsynsmail/A 5691-2024 tillsynsbegäran mail.docx", "A 5691-2024")</f>
        <v/>
      </c>
    </row>
    <row r="954" ht="15" customHeight="1">
      <c r="A954" t="inlineStr">
        <is>
          <t>A 6807-2024</t>
        </is>
      </c>
      <c r="B954" s="1" t="n">
        <v>45342</v>
      </c>
      <c r="C954" s="1" t="n">
        <v>45706</v>
      </c>
      <c r="D954" t="inlineStr">
        <is>
          <t>DALARNAS LÄN</t>
        </is>
      </c>
      <c r="E954" t="inlineStr">
        <is>
          <t>MALUNG-SÄLEN</t>
        </is>
      </c>
      <c r="G954" t="n">
        <v>10.7</v>
      </c>
      <c r="H954" t="n">
        <v>0</v>
      </c>
      <c r="I954" t="n">
        <v>0</v>
      </c>
      <c r="J954" t="n">
        <v>1</v>
      </c>
      <c r="K954" t="n">
        <v>0</v>
      </c>
      <c r="L954" t="n">
        <v>0</v>
      </c>
      <c r="M954" t="n">
        <v>0</v>
      </c>
      <c r="N954" t="n">
        <v>0</v>
      </c>
      <c r="O954" t="n">
        <v>1</v>
      </c>
      <c r="P954" t="n">
        <v>0</v>
      </c>
      <c r="Q954" t="n">
        <v>1</v>
      </c>
      <c r="R954" s="2" t="inlineStr">
        <is>
          <t>Motaggsvamp</t>
        </is>
      </c>
      <c r="S954">
        <f>HYPERLINK("https://klasma.github.io/Logging_2023/artfynd/A 6807-2024 artfynd.xlsx", "A 6807-2024")</f>
        <v/>
      </c>
      <c r="T954">
        <f>HYPERLINK("https://klasma.github.io/Logging_2023/kartor/A 6807-2024 karta.png", "A 6807-2024")</f>
        <v/>
      </c>
      <c r="V954">
        <f>HYPERLINK("https://klasma.github.io/Logging_2023/klagomål/A 6807-2024 FSC-klagomål.docx", "A 6807-2024")</f>
        <v/>
      </c>
      <c r="W954">
        <f>HYPERLINK("https://klasma.github.io/Logging_2023/klagomålsmail/A 6807-2024 FSC-klagomål mail.docx", "A 6807-2024")</f>
        <v/>
      </c>
      <c r="X954">
        <f>HYPERLINK("https://klasma.github.io/Logging_2023/tillsyn/A 6807-2024 tillsynsbegäran.docx", "A 6807-2024")</f>
        <v/>
      </c>
      <c r="Y954">
        <f>HYPERLINK("https://klasma.github.io/Logging_2023/tillsynsmail/A 6807-2024 tillsynsbegäran mail.docx", "A 6807-2024")</f>
        <v/>
      </c>
    </row>
    <row r="955" ht="15" customHeight="1">
      <c r="A955" t="inlineStr">
        <is>
          <t>A 8326-2024</t>
        </is>
      </c>
      <c r="B955" s="1" t="n">
        <v>45352</v>
      </c>
      <c r="C955" s="1" t="n">
        <v>45706</v>
      </c>
      <c r="D955" t="inlineStr">
        <is>
          <t>DALARNAS LÄN</t>
        </is>
      </c>
      <c r="E955" t="inlineStr">
        <is>
          <t>MALUNG-SÄLEN</t>
        </is>
      </c>
      <c r="G955" t="n">
        <v>1.3</v>
      </c>
      <c r="H955" t="n">
        <v>0</v>
      </c>
      <c r="I955" t="n">
        <v>0</v>
      </c>
      <c r="J955" t="n">
        <v>1</v>
      </c>
      <c r="K955" t="n">
        <v>0</v>
      </c>
      <c r="L955" t="n">
        <v>0</v>
      </c>
      <c r="M955" t="n">
        <v>0</v>
      </c>
      <c r="N955" t="n">
        <v>0</v>
      </c>
      <c r="O955" t="n">
        <v>1</v>
      </c>
      <c r="P955" t="n">
        <v>0</v>
      </c>
      <c r="Q955" t="n">
        <v>1</v>
      </c>
      <c r="R955" s="2" t="inlineStr">
        <is>
          <t>Doftskinn</t>
        </is>
      </c>
      <c r="S955">
        <f>HYPERLINK("https://klasma.github.io/Logging_2023/artfynd/A 8326-2024 artfynd.xlsx", "A 8326-2024")</f>
        <v/>
      </c>
      <c r="T955">
        <f>HYPERLINK("https://klasma.github.io/Logging_2023/kartor/A 8326-2024 karta.png", "A 8326-2024")</f>
        <v/>
      </c>
      <c r="V955">
        <f>HYPERLINK("https://klasma.github.io/Logging_2023/klagomål/A 8326-2024 FSC-klagomål.docx", "A 8326-2024")</f>
        <v/>
      </c>
      <c r="W955">
        <f>HYPERLINK("https://klasma.github.io/Logging_2023/klagomålsmail/A 8326-2024 FSC-klagomål mail.docx", "A 8326-2024")</f>
        <v/>
      </c>
      <c r="X955">
        <f>HYPERLINK("https://klasma.github.io/Logging_2023/tillsyn/A 8326-2024 tillsynsbegäran.docx", "A 8326-2024")</f>
        <v/>
      </c>
      <c r="Y955">
        <f>HYPERLINK("https://klasma.github.io/Logging_2023/tillsynsmail/A 8326-2024 tillsynsbegäran mail.docx", "A 8326-2024")</f>
        <v/>
      </c>
    </row>
    <row r="956" ht="15" customHeight="1">
      <c r="A956" t="inlineStr">
        <is>
          <t>A 9094-2024</t>
        </is>
      </c>
      <c r="B956" s="1" t="n">
        <v>45357</v>
      </c>
      <c r="C956" s="1" t="n">
        <v>45706</v>
      </c>
      <c r="D956" t="inlineStr">
        <is>
          <t>DALARNAS LÄN</t>
        </is>
      </c>
      <c r="E956" t="inlineStr">
        <is>
          <t>ÄLVDALEN</t>
        </is>
      </c>
      <c r="G956" t="n">
        <v>4.6</v>
      </c>
      <c r="H956" t="n">
        <v>0</v>
      </c>
      <c r="I956" t="n">
        <v>0</v>
      </c>
      <c r="J956" t="n">
        <v>1</v>
      </c>
      <c r="K956" t="n">
        <v>0</v>
      </c>
      <c r="L956" t="n">
        <v>0</v>
      </c>
      <c r="M956" t="n">
        <v>0</v>
      </c>
      <c r="N956" t="n">
        <v>0</v>
      </c>
      <c r="O956" t="n">
        <v>1</v>
      </c>
      <c r="P956" t="n">
        <v>0</v>
      </c>
      <c r="Q956" t="n">
        <v>1</v>
      </c>
      <c r="R956" s="2" t="inlineStr">
        <is>
          <t>Nordtagging</t>
        </is>
      </c>
      <c r="S956">
        <f>HYPERLINK("https://klasma.github.io/Logging_2039/artfynd/A 9094-2024 artfynd.xlsx", "A 9094-2024")</f>
        <v/>
      </c>
      <c r="T956">
        <f>HYPERLINK("https://klasma.github.io/Logging_2039/kartor/A 9094-2024 karta.png", "A 9094-2024")</f>
        <v/>
      </c>
      <c r="V956">
        <f>HYPERLINK("https://klasma.github.io/Logging_2039/klagomål/A 9094-2024 FSC-klagomål.docx", "A 9094-2024")</f>
        <v/>
      </c>
      <c r="W956">
        <f>HYPERLINK("https://klasma.github.io/Logging_2039/klagomålsmail/A 9094-2024 FSC-klagomål mail.docx", "A 9094-2024")</f>
        <v/>
      </c>
      <c r="X956">
        <f>HYPERLINK("https://klasma.github.io/Logging_2039/tillsyn/A 9094-2024 tillsynsbegäran.docx", "A 9094-2024")</f>
        <v/>
      </c>
      <c r="Y956">
        <f>HYPERLINK("https://klasma.github.io/Logging_2039/tillsynsmail/A 9094-2024 tillsynsbegäran mail.docx", "A 9094-2024")</f>
        <v/>
      </c>
    </row>
    <row r="957" ht="15" customHeight="1">
      <c r="A957" t="inlineStr">
        <is>
          <t>A 9998-2024</t>
        </is>
      </c>
      <c r="B957" s="1" t="n">
        <v>45363</v>
      </c>
      <c r="C957" s="1" t="n">
        <v>45706</v>
      </c>
      <c r="D957" t="inlineStr">
        <is>
          <t>DALARNAS LÄN</t>
        </is>
      </c>
      <c r="E957" t="inlineStr">
        <is>
          <t>LUDVIKA</t>
        </is>
      </c>
      <c r="G957" t="n">
        <v>8.199999999999999</v>
      </c>
      <c r="H957" t="n">
        <v>1</v>
      </c>
      <c r="I957" t="n">
        <v>0</v>
      </c>
      <c r="J957" t="n">
        <v>0</v>
      </c>
      <c r="K957" t="n">
        <v>0</v>
      </c>
      <c r="L957" t="n">
        <v>0</v>
      </c>
      <c r="M957" t="n">
        <v>0</v>
      </c>
      <c r="N957" t="n">
        <v>0</v>
      </c>
      <c r="O957" t="n">
        <v>0</v>
      </c>
      <c r="P957" t="n">
        <v>0</v>
      </c>
      <c r="Q957" t="n">
        <v>1</v>
      </c>
      <c r="R957" s="2" t="inlineStr">
        <is>
          <t>Tjäder</t>
        </is>
      </c>
      <c r="S957">
        <f>HYPERLINK("https://klasma.github.io/Logging_2085/artfynd/A 9998-2024 artfynd.xlsx", "A 9998-2024")</f>
        <v/>
      </c>
      <c r="T957">
        <f>HYPERLINK("https://klasma.github.io/Logging_2085/kartor/A 9998-2024 karta.png", "A 9998-2024")</f>
        <v/>
      </c>
      <c r="V957">
        <f>HYPERLINK("https://klasma.github.io/Logging_2085/klagomål/A 9998-2024 FSC-klagomål.docx", "A 9998-2024")</f>
        <v/>
      </c>
      <c r="W957">
        <f>HYPERLINK("https://klasma.github.io/Logging_2085/klagomålsmail/A 9998-2024 FSC-klagomål mail.docx", "A 9998-2024")</f>
        <v/>
      </c>
      <c r="X957">
        <f>HYPERLINK("https://klasma.github.io/Logging_2085/tillsyn/A 9998-2024 tillsynsbegäran.docx", "A 9998-2024")</f>
        <v/>
      </c>
      <c r="Y957">
        <f>HYPERLINK("https://klasma.github.io/Logging_2085/tillsynsmail/A 9998-2024 tillsynsbegäran mail.docx", "A 9998-2024")</f>
        <v/>
      </c>
      <c r="Z957">
        <f>HYPERLINK("https://klasma.github.io/Logging_2085/fåglar/A 9998-2024 prioriterade fågelarter.docx", "A 9998-2024")</f>
        <v/>
      </c>
    </row>
    <row r="958" ht="15" customHeight="1">
      <c r="A958" t="inlineStr">
        <is>
          <t>A 10943-2024</t>
        </is>
      </c>
      <c r="B958" s="1" t="n">
        <v>45370</v>
      </c>
      <c r="C958" s="1" t="n">
        <v>45706</v>
      </c>
      <c r="D958" t="inlineStr">
        <is>
          <t>DALARNAS LÄN</t>
        </is>
      </c>
      <c r="E958" t="inlineStr">
        <is>
          <t>AVESTA</t>
        </is>
      </c>
      <c r="G958" t="n">
        <v>8.5</v>
      </c>
      <c r="H958" t="n">
        <v>1</v>
      </c>
      <c r="I958" t="n">
        <v>0</v>
      </c>
      <c r="J958" t="n">
        <v>1</v>
      </c>
      <c r="K958" t="n">
        <v>0</v>
      </c>
      <c r="L958" t="n">
        <v>0</v>
      </c>
      <c r="M958" t="n">
        <v>0</v>
      </c>
      <c r="N958" t="n">
        <v>0</v>
      </c>
      <c r="O958" t="n">
        <v>1</v>
      </c>
      <c r="P958" t="n">
        <v>0</v>
      </c>
      <c r="Q958" t="n">
        <v>1</v>
      </c>
      <c r="R958" s="2" t="inlineStr">
        <is>
          <t>Havsörn</t>
        </is>
      </c>
      <c r="S958">
        <f>HYPERLINK("https://klasma.github.io/Logging_2084/artfynd/A 10943-2024 artfynd.xlsx", "A 10943-2024")</f>
        <v/>
      </c>
      <c r="T958">
        <f>HYPERLINK("https://klasma.github.io/Logging_2084/kartor/A 10943-2024 karta.png", "A 10943-2024")</f>
        <v/>
      </c>
      <c r="V958">
        <f>HYPERLINK("https://klasma.github.io/Logging_2084/klagomål/A 10943-2024 FSC-klagomål.docx", "A 10943-2024")</f>
        <v/>
      </c>
      <c r="W958">
        <f>HYPERLINK("https://klasma.github.io/Logging_2084/klagomålsmail/A 10943-2024 FSC-klagomål mail.docx", "A 10943-2024")</f>
        <v/>
      </c>
      <c r="X958">
        <f>HYPERLINK("https://klasma.github.io/Logging_2084/tillsyn/A 10943-2024 tillsynsbegäran.docx", "A 10943-2024")</f>
        <v/>
      </c>
      <c r="Y958">
        <f>HYPERLINK("https://klasma.github.io/Logging_2084/tillsynsmail/A 10943-2024 tillsynsbegäran mail.docx", "A 10943-2024")</f>
        <v/>
      </c>
      <c r="Z958">
        <f>HYPERLINK("https://klasma.github.io/Logging_2084/fåglar/A 10943-2024 prioriterade fågelarter.docx", "A 10943-2024")</f>
        <v/>
      </c>
    </row>
    <row r="959" ht="15" customHeight="1">
      <c r="A959" t="inlineStr">
        <is>
          <t>A 11705-2024</t>
        </is>
      </c>
      <c r="B959" s="1" t="n">
        <v>45373</v>
      </c>
      <c r="C959" s="1" t="n">
        <v>45706</v>
      </c>
      <c r="D959" t="inlineStr">
        <is>
          <t>DALARNAS LÄN</t>
        </is>
      </c>
      <c r="E959" t="inlineStr">
        <is>
          <t>LUDVIKA</t>
        </is>
      </c>
      <c r="G959" t="n">
        <v>35.4</v>
      </c>
      <c r="H959" t="n">
        <v>0</v>
      </c>
      <c r="I959" t="n">
        <v>0</v>
      </c>
      <c r="J959" t="n">
        <v>1</v>
      </c>
      <c r="K959" t="n">
        <v>0</v>
      </c>
      <c r="L959" t="n">
        <v>0</v>
      </c>
      <c r="M959" t="n">
        <v>0</v>
      </c>
      <c r="N959" t="n">
        <v>0</v>
      </c>
      <c r="O959" t="n">
        <v>1</v>
      </c>
      <c r="P959" t="n">
        <v>0</v>
      </c>
      <c r="Q959" t="n">
        <v>1</v>
      </c>
      <c r="R959" s="2" t="inlineStr">
        <is>
          <t>Brunpudrad nållav</t>
        </is>
      </c>
      <c r="S959">
        <f>HYPERLINK("https://klasma.github.io/Logging_2085/artfynd/A 11705-2024 artfynd.xlsx", "A 11705-2024")</f>
        <v/>
      </c>
      <c r="T959">
        <f>HYPERLINK("https://klasma.github.io/Logging_2085/kartor/A 11705-2024 karta.png", "A 11705-2024")</f>
        <v/>
      </c>
      <c r="V959">
        <f>HYPERLINK("https://klasma.github.io/Logging_2085/klagomål/A 11705-2024 FSC-klagomål.docx", "A 11705-2024")</f>
        <v/>
      </c>
      <c r="W959">
        <f>HYPERLINK("https://klasma.github.io/Logging_2085/klagomålsmail/A 11705-2024 FSC-klagomål mail.docx", "A 11705-2024")</f>
        <v/>
      </c>
      <c r="X959">
        <f>HYPERLINK("https://klasma.github.io/Logging_2085/tillsyn/A 11705-2024 tillsynsbegäran.docx", "A 11705-2024")</f>
        <v/>
      </c>
      <c r="Y959">
        <f>HYPERLINK("https://klasma.github.io/Logging_2085/tillsynsmail/A 11705-2024 tillsynsbegäran mail.docx", "A 11705-2024")</f>
        <v/>
      </c>
    </row>
    <row r="960" ht="15" customHeight="1">
      <c r="A960" t="inlineStr">
        <is>
          <t>A 11574-2024</t>
        </is>
      </c>
      <c r="B960" s="1" t="n">
        <v>45373</v>
      </c>
      <c r="C960" s="1" t="n">
        <v>45706</v>
      </c>
      <c r="D960" t="inlineStr">
        <is>
          <t>DALARNAS LÄN</t>
        </is>
      </c>
      <c r="E960" t="inlineStr">
        <is>
          <t>RÄTTVIK</t>
        </is>
      </c>
      <c r="G960" t="n">
        <v>2.1</v>
      </c>
      <c r="H960" t="n">
        <v>0</v>
      </c>
      <c r="I960" t="n">
        <v>0</v>
      </c>
      <c r="J960" t="n">
        <v>1</v>
      </c>
      <c r="K960" t="n">
        <v>0</v>
      </c>
      <c r="L960" t="n">
        <v>0</v>
      </c>
      <c r="M960" t="n">
        <v>0</v>
      </c>
      <c r="N960" t="n">
        <v>0</v>
      </c>
      <c r="O960" t="n">
        <v>1</v>
      </c>
      <c r="P960" t="n">
        <v>0</v>
      </c>
      <c r="Q960" t="n">
        <v>1</v>
      </c>
      <c r="R960" s="2" t="inlineStr">
        <is>
          <t>Linmåra/småsnärjmåra</t>
        </is>
      </c>
      <c r="S960">
        <f>HYPERLINK("https://klasma.github.io/Logging_2031/artfynd/A 11574-2024 artfynd.xlsx", "A 11574-2024")</f>
        <v/>
      </c>
      <c r="T960">
        <f>HYPERLINK("https://klasma.github.io/Logging_2031/kartor/A 11574-2024 karta.png", "A 11574-2024")</f>
        <v/>
      </c>
      <c r="V960">
        <f>HYPERLINK("https://klasma.github.io/Logging_2031/klagomål/A 11574-2024 FSC-klagomål.docx", "A 11574-2024")</f>
        <v/>
      </c>
      <c r="W960">
        <f>HYPERLINK("https://klasma.github.io/Logging_2031/klagomålsmail/A 11574-2024 FSC-klagomål mail.docx", "A 11574-2024")</f>
        <v/>
      </c>
      <c r="X960">
        <f>HYPERLINK("https://klasma.github.io/Logging_2031/tillsyn/A 11574-2024 tillsynsbegäran.docx", "A 11574-2024")</f>
        <v/>
      </c>
      <c r="Y960">
        <f>HYPERLINK("https://klasma.github.io/Logging_2031/tillsynsmail/A 11574-2024 tillsynsbegäran mail.docx", "A 11574-2024")</f>
        <v/>
      </c>
    </row>
    <row r="961" ht="15" customHeight="1">
      <c r="A961" t="inlineStr">
        <is>
          <t>A 14094-2024</t>
        </is>
      </c>
      <c r="B961" s="1" t="n">
        <v>45392</v>
      </c>
      <c r="C961" s="1" t="n">
        <v>45706</v>
      </c>
      <c r="D961" t="inlineStr">
        <is>
          <t>DALARNAS LÄN</t>
        </is>
      </c>
      <c r="E961" t="inlineStr">
        <is>
          <t>FALUN</t>
        </is>
      </c>
      <c r="G961" t="n">
        <v>0.8</v>
      </c>
      <c r="H961" t="n">
        <v>1</v>
      </c>
      <c r="I961" t="n">
        <v>0</v>
      </c>
      <c r="J961" t="n">
        <v>0</v>
      </c>
      <c r="K961" t="n">
        <v>1</v>
      </c>
      <c r="L961" t="n">
        <v>0</v>
      </c>
      <c r="M961" t="n">
        <v>0</v>
      </c>
      <c r="N961" t="n">
        <v>0</v>
      </c>
      <c r="O961" t="n">
        <v>1</v>
      </c>
      <c r="P961" t="n">
        <v>1</v>
      </c>
      <c r="Q961" t="n">
        <v>1</v>
      </c>
      <c r="R961" s="2" t="inlineStr">
        <is>
          <t>Knärot</t>
        </is>
      </c>
      <c r="S961">
        <f>HYPERLINK("https://klasma.github.io/Logging_2080/artfynd/A 14094-2024 artfynd.xlsx", "A 14094-2024")</f>
        <v/>
      </c>
      <c r="T961">
        <f>HYPERLINK("https://klasma.github.io/Logging_2080/kartor/A 14094-2024 karta.png", "A 14094-2024")</f>
        <v/>
      </c>
      <c r="U961">
        <f>HYPERLINK("https://klasma.github.io/Logging_2080/knärot/A 14094-2024 karta knärot.png", "A 14094-2024")</f>
        <v/>
      </c>
      <c r="V961">
        <f>HYPERLINK("https://klasma.github.io/Logging_2080/klagomål/A 14094-2024 FSC-klagomål.docx", "A 14094-2024")</f>
        <v/>
      </c>
      <c r="W961">
        <f>HYPERLINK("https://klasma.github.io/Logging_2080/klagomålsmail/A 14094-2024 FSC-klagomål mail.docx", "A 14094-2024")</f>
        <v/>
      </c>
      <c r="X961">
        <f>HYPERLINK("https://klasma.github.io/Logging_2080/tillsyn/A 14094-2024 tillsynsbegäran.docx", "A 14094-2024")</f>
        <v/>
      </c>
      <c r="Y961">
        <f>HYPERLINK("https://klasma.github.io/Logging_2080/tillsynsmail/A 14094-2024 tillsynsbegäran mail.docx", "A 14094-2024")</f>
        <v/>
      </c>
    </row>
    <row r="962" ht="15" customHeight="1">
      <c r="A962" t="inlineStr">
        <is>
          <t>A 14277-2024</t>
        </is>
      </c>
      <c r="B962" s="1" t="n">
        <v>45393</v>
      </c>
      <c r="C962" s="1" t="n">
        <v>45706</v>
      </c>
      <c r="D962" t="inlineStr">
        <is>
          <t>DALARNAS LÄN</t>
        </is>
      </c>
      <c r="E962" t="inlineStr">
        <is>
          <t>ÄLVDALEN</t>
        </is>
      </c>
      <c r="F962" t="inlineStr">
        <is>
          <t>Allmännings- och besparingsskogar</t>
        </is>
      </c>
      <c r="G962" t="n">
        <v>2.8</v>
      </c>
      <c r="H962" t="n">
        <v>1</v>
      </c>
      <c r="I962" t="n">
        <v>0</v>
      </c>
      <c r="J962" t="n">
        <v>1</v>
      </c>
      <c r="K962" t="n">
        <v>0</v>
      </c>
      <c r="L962" t="n">
        <v>0</v>
      </c>
      <c r="M962" t="n">
        <v>0</v>
      </c>
      <c r="N962" t="n">
        <v>0</v>
      </c>
      <c r="O962" t="n">
        <v>1</v>
      </c>
      <c r="P962" t="n">
        <v>0</v>
      </c>
      <c r="Q962" t="n">
        <v>1</v>
      </c>
      <c r="R962" s="2" t="inlineStr">
        <is>
          <t>Talltita</t>
        </is>
      </c>
      <c r="S962">
        <f>HYPERLINK("https://klasma.github.io/Logging_2039/artfynd/A 14277-2024 artfynd.xlsx", "A 14277-2024")</f>
        <v/>
      </c>
      <c r="T962">
        <f>HYPERLINK("https://klasma.github.io/Logging_2039/kartor/A 14277-2024 karta.png", "A 14277-2024")</f>
        <v/>
      </c>
      <c r="V962">
        <f>HYPERLINK("https://klasma.github.io/Logging_2039/klagomål/A 14277-2024 FSC-klagomål.docx", "A 14277-2024")</f>
        <v/>
      </c>
      <c r="W962">
        <f>HYPERLINK("https://klasma.github.io/Logging_2039/klagomålsmail/A 14277-2024 FSC-klagomål mail.docx", "A 14277-2024")</f>
        <v/>
      </c>
      <c r="X962">
        <f>HYPERLINK("https://klasma.github.io/Logging_2039/tillsyn/A 14277-2024 tillsynsbegäran.docx", "A 14277-2024")</f>
        <v/>
      </c>
      <c r="Y962">
        <f>HYPERLINK("https://klasma.github.io/Logging_2039/tillsynsmail/A 14277-2024 tillsynsbegäran mail.docx", "A 14277-2024")</f>
        <v/>
      </c>
      <c r="Z962">
        <f>HYPERLINK("https://klasma.github.io/Logging_2039/fåglar/A 14277-2024 prioriterade fågelarter.docx", "A 14277-2024")</f>
        <v/>
      </c>
    </row>
    <row r="963" ht="15" customHeight="1">
      <c r="A963" t="inlineStr">
        <is>
          <t>A 14479-2024</t>
        </is>
      </c>
      <c r="B963" s="1" t="n">
        <v>45394</v>
      </c>
      <c r="C963" s="1" t="n">
        <v>45706</v>
      </c>
      <c r="D963" t="inlineStr">
        <is>
          <t>DALARNAS LÄN</t>
        </is>
      </c>
      <c r="E963" t="inlineStr">
        <is>
          <t>GAGNEF</t>
        </is>
      </c>
      <c r="G963" t="n">
        <v>4.4</v>
      </c>
      <c r="H963" t="n">
        <v>0</v>
      </c>
      <c r="I963" t="n">
        <v>0</v>
      </c>
      <c r="J963" t="n">
        <v>1</v>
      </c>
      <c r="K963" t="n">
        <v>0</v>
      </c>
      <c r="L963" t="n">
        <v>0</v>
      </c>
      <c r="M963" t="n">
        <v>0</v>
      </c>
      <c r="N963" t="n">
        <v>0</v>
      </c>
      <c r="O963" t="n">
        <v>1</v>
      </c>
      <c r="P963" t="n">
        <v>0</v>
      </c>
      <c r="Q963" t="n">
        <v>1</v>
      </c>
      <c r="R963" s="2" t="inlineStr">
        <is>
          <t>Garnlav</t>
        </is>
      </c>
      <c r="S963">
        <f>HYPERLINK("https://klasma.github.io/Logging_2026/artfynd/A 14479-2024 artfynd.xlsx", "A 14479-2024")</f>
        <v/>
      </c>
      <c r="T963">
        <f>HYPERLINK("https://klasma.github.io/Logging_2026/kartor/A 14479-2024 karta.png", "A 14479-2024")</f>
        <v/>
      </c>
      <c r="V963">
        <f>HYPERLINK("https://klasma.github.io/Logging_2026/klagomål/A 14479-2024 FSC-klagomål.docx", "A 14479-2024")</f>
        <v/>
      </c>
      <c r="W963">
        <f>HYPERLINK("https://klasma.github.io/Logging_2026/klagomålsmail/A 14479-2024 FSC-klagomål mail.docx", "A 14479-2024")</f>
        <v/>
      </c>
      <c r="X963">
        <f>HYPERLINK("https://klasma.github.io/Logging_2026/tillsyn/A 14479-2024 tillsynsbegäran.docx", "A 14479-2024")</f>
        <v/>
      </c>
      <c r="Y963">
        <f>HYPERLINK("https://klasma.github.io/Logging_2026/tillsynsmail/A 14479-2024 tillsynsbegäran mail.docx", "A 14479-2024")</f>
        <v/>
      </c>
    </row>
    <row r="964" ht="15" customHeight="1">
      <c r="A964" t="inlineStr">
        <is>
          <t>A 14887-2024</t>
        </is>
      </c>
      <c r="B964" s="1" t="n">
        <v>45398</v>
      </c>
      <c r="C964" s="1" t="n">
        <v>45706</v>
      </c>
      <c r="D964" t="inlineStr">
        <is>
          <t>DALARNAS LÄN</t>
        </is>
      </c>
      <c r="E964" t="inlineStr">
        <is>
          <t>FALUN</t>
        </is>
      </c>
      <c r="G964" t="n">
        <v>2.8</v>
      </c>
      <c r="H964" t="n">
        <v>1</v>
      </c>
      <c r="I964" t="n">
        <v>0</v>
      </c>
      <c r="J964" t="n">
        <v>1</v>
      </c>
      <c r="K964" t="n">
        <v>0</v>
      </c>
      <c r="L964" t="n">
        <v>0</v>
      </c>
      <c r="M964" t="n">
        <v>0</v>
      </c>
      <c r="N964" t="n">
        <v>0</v>
      </c>
      <c r="O964" t="n">
        <v>1</v>
      </c>
      <c r="P964" t="n">
        <v>0</v>
      </c>
      <c r="Q964" t="n">
        <v>1</v>
      </c>
      <c r="R964" s="2" t="inlineStr">
        <is>
          <t>Varglav</t>
        </is>
      </c>
      <c r="S964">
        <f>HYPERLINK("https://klasma.github.io/Logging_2080/artfynd/A 14887-2024 artfynd.xlsx", "A 14887-2024")</f>
        <v/>
      </c>
      <c r="T964">
        <f>HYPERLINK("https://klasma.github.io/Logging_2080/kartor/A 14887-2024 karta.png", "A 14887-2024")</f>
        <v/>
      </c>
      <c r="V964">
        <f>HYPERLINK("https://klasma.github.io/Logging_2080/klagomål/A 14887-2024 FSC-klagomål.docx", "A 14887-2024")</f>
        <v/>
      </c>
      <c r="W964">
        <f>HYPERLINK("https://klasma.github.io/Logging_2080/klagomålsmail/A 14887-2024 FSC-klagomål mail.docx", "A 14887-2024")</f>
        <v/>
      </c>
      <c r="X964">
        <f>HYPERLINK("https://klasma.github.io/Logging_2080/tillsyn/A 14887-2024 tillsynsbegäran.docx", "A 14887-2024")</f>
        <v/>
      </c>
      <c r="Y964">
        <f>HYPERLINK("https://klasma.github.io/Logging_2080/tillsynsmail/A 14887-2024 tillsynsbegäran mail.docx", "A 14887-2024")</f>
        <v/>
      </c>
    </row>
    <row r="965" ht="15" customHeight="1">
      <c r="A965" t="inlineStr">
        <is>
          <t>A 15389-2024</t>
        </is>
      </c>
      <c r="B965" s="1" t="n">
        <v>45401</v>
      </c>
      <c r="C965" s="1" t="n">
        <v>45706</v>
      </c>
      <c r="D965" t="inlineStr">
        <is>
          <t>DALARNAS LÄN</t>
        </is>
      </c>
      <c r="E965" t="inlineStr">
        <is>
          <t>SMEDJEBACKEN</t>
        </is>
      </c>
      <c r="F965" t="inlineStr">
        <is>
          <t>Sveaskog</t>
        </is>
      </c>
      <c r="G965" t="n">
        <v>2.8</v>
      </c>
      <c r="H965" t="n">
        <v>0</v>
      </c>
      <c r="I965" t="n">
        <v>1</v>
      </c>
      <c r="J965" t="n">
        <v>0</v>
      </c>
      <c r="K965" t="n">
        <v>0</v>
      </c>
      <c r="L965" t="n">
        <v>0</v>
      </c>
      <c r="M965" t="n">
        <v>0</v>
      </c>
      <c r="N965" t="n">
        <v>0</v>
      </c>
      <c r="O965" t="n">
        <v>0</v>
      </c>
      <c r="P965" t="n">
        <v>0</v>
      </c>
      <c r="Q965" t="n">
        <v>1</v>
      </c>
      <c r="R965" s="2" t="inlineStr">
        <is>
          <t>Svavelriska</t>
        </is>
      </c>
      <c r="S965">
        <f>HYPERLINK("https://klasma.github.io/Logging_2061/artfynd/A 15389-2024 artfynd.xlsx", "A 15389-2024")</f>
        <v/>
      </c>
      <c r="T965">
        <f>HYPERLINK("https://klasma.github.io/Logging_2061/kartor/A 15389-2024 karta.png", "A 15389-2024")</f>
        <v/>
      </c>
      <c r="V965">
        <f>HYPERLINK("https://klasma.github.io/Logging_2061/klagomål/A 15389-2024 FSC-klagomål.docx", "A 15389-2024")</f>
        <v/>
      </c>
      <c r="W965">
        <f>HYPERLINK("https://klasma.github.io/Logging_2061/klagomålsmail/A 15389-2024 FSC-klagomål mail.docx", "A 15389-2024")</f>
        <v/>
      </c>
      <c r="X965">
        <f>HYPERLINK("https://klasma.github.io/Logging_2061/tillsyn/A 15389-2024 tillsynsbegäran.docx", "A 15389-2024")</f>
        <v/>
      </c>
      <c r="Y965">
        <f>HYPERLINK("https://klasma.github.io/Logging_2061/tillsynsmail/A 15389-2024 tillsynsbegäran mail.docx", "A 15389-2024")</f>
        <v/>
      </c>
    </row>
    <row r="966" ht="15" customHeight="1">
      <c r="A966" t="inlineStr">
        <is>
          <t>A 15820-2024</t>
        </is>
      </c>
      <c r="B966" s="1" t="n">
        <v>45404</v>
      </c>
      <c r="C966" s="1" t="n">
        <v>45706</v>
      </c>
      <c r="D966" t="inlineStr">
        <is>
          <t>DALARNAS LÄN</t>
        </is>
      </c>
      <c r="E966" t="inlineStr">
        <is>
          <t>MORA</t>
        </is>
      </c>
      <c r="G966" t="n">
        <v>3</v>
      </c>
      <c r="H966" t="n">
        <v>1</v>
      </c>
      <c r="I966" t="n">
        <v>0</v>
      </c>
      <c r="J966" t="n">
        <v>1</v>
      </c>
      <c r="K966" t="n">
        <v>0</v>
      </c>
      <c r="L966" t="n">
        <v>0</v>
      </c>
      <c r="M966" t="n">
        <v>0</v>
      </c>
      <c r="N966" t="n">
        <v>0</v>
      </c>
      <c r="O966" t="n">
        <v>1</v>
      </c>
      <c r="P966" t="n">
        <v>0</v>
      </c>
      <c r="Q966" t="n">
        <v>1</v>
      </c>
      <c r="R966" s="2" t="inlineStr">
        <is>
          <t>Slaguggla</t>
        </is>
      </c>
      <c r="S966">
        <f>HYPERLINK("https://klasma.github.io/Logging_2062/artfynd/A 15820-2024 artfynd.xlsx", "A 15820-2024")</f>
        <v/>
      </c>
      <c r="T966">
        <f>HYPERLINK("https://klasma.github.io/Logging_2062/kartor/A 15820-2024 karta.png", "A 15820-2024")</f>
        <v/>
      </c>
      <c r="V966">
        <f>HYPERLINK("https://klasma.github.io/Logging_2062/klagomål/A 15820-2024 FSC-klagomål.docx", "A 15820-2024")</f>
        <v/>
      </c>
      <c r="W966">
        <f>HYPERLINK("https://klasma.github.io/Logging_2062/klagomålsmail/A 15820-2024 FSC-klagomål mail.docx", "A 15820-2024")</f>
        <v/>
      </c>
      <c r="X966">
        <f>HYPERLINK("https://klasma.github.io/Logging_2062/tillsyn/A 15820-2024 tillsynsbegäran.docx", "A 15820-2024")</f>
        <v/>
      </c>
      <c r="Y966">
        <f>HYPERLINK("https://klasma.github.io/Logging_2062/tillsynsmail/A 15820-2024 tillsynsbegäran mail.docx", "A 15820-2024")</f>
        <v/>
      </c>
      <c r="Z966">
        <f>HYPERLINK("https://klasma.github.io/Logging_2062/fåglar/A 15820-2024 prioriterade fågelarter.docx", "A 15820-2024")</f>
        <v/>
      </c>
    </row>
    <row r="967" ht="15" customHeight="1">
      <c r="A967" t="inlineStr">
        <is>
          <t>A 16116-2024</t>
        </is>
      </c>
      <c r="B967" s="1" t="n">
        <v>45406</v>
      </c>
      <c r="C967" s="1" t="n">
        <v>45706</v>
      </c>
      <c r="D967" t="inlineStr">
        <is>
          <t>DALARNAS LÄN</t>
        </is>
      </c>
      <c r="E967" t="inlineStr">
        <is>
          <t>RÄTTVIK</t>
        </is>
      </c>
      <c r="G967" t="n">
        <v>19.1</v>
      </c>
      <c r="H967" t="n">
        <v>0</v>
      </c>
      <c r="I967" t="n">
        <v>1</v>
      </c>
      <c r="J967" t="n">
        <v>0</v>
      </c>
      <c r="K967" t="n">
        <v>0</v>
      </c>
      <c r="L967" t="n">
        <v>0</v>
      </c>
      <c r="M967" t="n">
        <v>0</v>
      </c>
      <c r="N967" t="n">
        <v>0</v>
      </c>
      <c r="O967" t="n">
        <v>0</v>
      </c>
      <c r="P967" t="n">
        <v>0</v>
      </c>
      <c r="Q967" t="n">
        <v>1</v>
      </c>
      <c r="R967" s="2" t="inlineStr">
        <is>
          <t>Korallblylav</t>
        </is>
      </c>
      <c r="S967">
        <f>HYPERLINK("https://klasma.github.io/Logging_2031/artfynd/A 16116-2024 artfynd.xlsx", "A 16116-2024")</f>
        <v/>
      </c>
      <c r="T967">
        <f>HYPERLINK("https://klasma.github.io/Logging_2031/kartor/A 16116-2024 karta.png", "A 16116-2024")</f>
        <v/>
      </c>
      <c r="V967">
        <f>HYPERLINK("https://klasma.github.io/Logging_2031/klagomål/A 16116-2024 FSC-klagomål.docx", "A 16116-2024")</f>
        <v/>
      </c>
      <c r="W967">
        <f>HYPERLINK("https://klasma.github.io/Logging_2031/klagomålsmail/A 16116-2024 FSC-klagomål mail.docx", "A 16116-2024")</f>
        <v/>
      </c>
      <c r="X967">
        <f>HYPERLINK("https://klasma.github.io/Logging_2031/tillsyn/A 16116-2024 tillsynsbegäran.docx", "A 16116-2024")</f>
        <v/>
      </c>
      <c r="Y967">
        <f>HYPERLINK("https://klasma.github.io/Logging_2031/tillsynsmail/A 16116-2024 tillsynsbegäran mail.docx", "A 16116-2024")</f>
        <v/>
      </c>
    </row>
    <row r="968" ht="15" customHeight="1">
      <c r="A968" t="inlineStr">
        <is>
          <t>A 16094-2024</t>
        </is>
      </c>
      <c r="B968" s="1" t="n">
        <v>45406</v>
      </c>
      <c r="C968" s="1" t="n">
        <v>45706</v>
      </c>
      <c r="D968" t="inlineStr">
        <is>
          <t>DALARNAS LÄN</t>
        </is>
      </c>
      <c r="E968" t="inlineStr">
        <is>
          <t>MORA</t>
        </is>
      </c>
      <c r="F968" t="inlineStr">
        <is>
          <t>Bergvik skog väst AB</t>
        </is>
      </c>
      <c r="G968" t="n">
        <v>22.6</v>
      </c>
      <c r="H968" t="n">
        <v>0</v>
      </c>
      <c r="I968" t="n">
        <v>0</v>
      </c>
      <c r="J968" t="n">
        <v>1</v>
      </c>
      <c r="K968" t="n">
        <v>0</v>
      </c>
      <c r="L968" t="n">
        <v>0</v>
      </c>
      <c r="M968" t="n">
        <v>0</v>
      </c>
      <c r="N968" t="n">
        <v>0</v>
      </c>
      <c r="O968" t="n">
        <v>1</v>
      </c>
      <c r="P968" t="n">
        <v>0</v>
      </c>
      <c r="Q968" t="n">
        <v>1</v>
      </c>
      <c r="R968" s="2" t="inlineStr">
        <is>
          <t>Reliktbock</t>
        </is>
      </c>
      <c r="S968">
        <f>HYPERLINK("https://klasma.github.io/Logging_2062/artfynd/A 16094-2024 artfynd.xlsx", "A 16094-2024")</f>
        <v/>
      </c>
      <c r="T968">
        <f>HYPERLINK("https://klasma.github.io/Logging_2062/kartor/A 16094-2024 karta.png", "A 16094-2024")</f>
        <v/>
      </c>
      <c r="V968">
        <f>HYPERLINK("https://klasma.github.io/Logging_2062/klagomål/A 16094-2024 FSC-klagomål.docx", "A 16094-2024")</f>
        <v/>
      </c>
      <c r="W968">
        <f>HYPERLINK("https://klasma.github.io/Logging_2062/klagomålsmail/A 16094-2024 FSC-klagomål mail.docx", "A 16094-2024")</f>
        <v/>
      </c>
      <c r="X968">
        <f>HYPERLINK("https://klasma.github.io/Logging_2062/tillsyn/A 16094-2024 tillsynsbegäran.docx", "A 16094-2024")</f>
        <v/>
      </c>
      <c r="Y968">
        <f>HYPERLINK("https://klasma.github.io/Logging_2062/tillsynsmail/A 16094-2024 tillsynsbegäran mail.docx", "A 16094-2024")</f>
        <v/>
      </c>
    </row>
    <row r="969" ht="15" customHeight="1">
      <c r="A969" t="inlineStr">
        <is>
          <t>A 16818-2024</t>
        </is>
      </c>
      <c r="B969" s="1" t="n">
        <v>45411</v>
      </c>
      <c r="C969" s="1" t="n">
        <v>45706</v>
      </c>
      <c r="D969" t="inlineStr">
        <is>
          <t>DALARNAS LÄN</t>
        </is>
      </c>
      <c r="E969" t="inlineStr">
        <is>
          <t>RÄTTVIK</t>
        </is>
      </c>
      <c r="F969" t="inlineStr">
        <is>
          <t>Sveaskog</t>
        </is>
      </c>
      <c r="G969" t="n">
        <v>2.5</v>
      </c>
      <c r="H969" t="n">
        <v>1</v>
      </c>
      <c r="I969" t="n">
        <v>1</v>
      </c>
      <c r="J969" t="n">
        <v>0</v>
      </c>
      <c r="K969" t="n">
        <v>0</v>
      </c>
      <c r="L969" t="n">
        <v>0</v>
      </c>
      <c r="M969" t="n">
        <v>0</v>
      </c>
      <c r="N969" t="n">
        <v>0</v>
      </c>
      <c r="O969" t="n">
        <v>0</v>
      </c>
      <c r="P969" t="n">
        <v>0</v>
      </c>
      <c r="Q969" t="n">
        <v>1</v>
      </c>
      <c r="R969" s="2" t="inlineStr">
        <is>
          <t>Plattlummer</t>
        </is>
      </c>
      <c r="S969">
        <f>HYPERLINK("https://klasma.github.io/Logging_2031/artfynd/A 16818-2024 artfynd.xlsx", "A 16818-2024")</f>
        <v/>
      </c>
      <c r="T969">
        <f>HYPERLINK("https://klasma.github.io/Logging_2031/kartor/A 16818-2024 karta.png", "A 16818-2024")</f>
        <v/>
      </c>
      <c r="V969">
        <f>HYPERLINK("https://klasma.github.io/Logging_2031/klagomål/A 16818-2024 FSC-klagomål.docx", "A 16818-2024")</f>
        <v/>
      </c>
      <c r="W969">
        <f>HYPERLINK("https://klasma.github.io/Logging_2031/klagomålsmail/A 16818-2024 FSC-klagomål mail.docx", "A 16818-2024")</f>
        <v/>
      </c>
      <c r="X969">
        <f>HYPERLINK("https://klasma.github.io/Logging_2031/tillsyn/A 16818-2024 tillsynsbegäran.docx", "A 16818-2024")</f>
        <v/>
      </c>
      <c r="Y969">
        <f>HYPERLINK("https://klasma.github.io/Logging_2031/tillsynsmail/A 16818-2024 tillsynsbegäran mail.docx", "A 16818-2024")</f>
        <v/>
      </c>
    </row>
    <row r="970" ht="15" customHeight="1">
      <c r="A970" t="inlineStr">
        <is>
          <t>A 16838-2024</t>
        </is>
      </c>
      <c r="B970" s="1" t="n">
        <v>45411</v>
      </c>
      <c r="C970" s="1" t="n">
        <v>45706</v>
      </c>
      <c r="D970" t="inlineStr">
        <is>
          <t>DALARNAS LÄN</t>
        </is>
      </c>
      <c r="E970" t="inlineStr">
        <is>
          <t>SÄTER</t>
        </is>
      </c>
      <c r="G970" t="n">
        <v>0.6</v>
      </c>
      <c r="H970" t="n">
        <v>1</v>
      </c>
      <c r="I970" t="n">
        <v>0</v>
      </c>
      <c r="J970" t="n">
        <v>0</v>
      </c>
      <c r="K970" t="n">
        <v>0</v>
      </c>
      <c r="L970" t="n">
        <v>0</v>
      </c>
      <c r="M970" t="n">
        <v>0</v>
      </c>
      <c r="N970" t="n">
        <v>0</v>
      </c>
      <c r="O970" t="n">
        <v>0</v>
      </c>
      <c r="P970" t="n">
        <v>0</v>
      </c>
      <c r="Q970" t="n">
        <v>1</v>
      </c>
      <c r="R970" s="2" t="inlineStr">
        <is>
          <t>Blåsippa</t>
        </is>
      </c>
      <c r="S970">
        <f>HYPERLINK("https://klasma.github.io/Logging_2082/artfynd/A 16838-2024 artfynd.xlsx", "A 16838-2024")</f>
        <v/>
      </c>
      <c r="T970">
        <f>HYPERLINK("https://klasma.github.io/Logging_2082/kartor/A 16838-2024 karta.png", "A 16838-2024")</f>
        <v/>
      </c>
      <c r="V970">
        <f>HYPERLINK("https://klasma.github.io/Logging_2082/klagomål/A 16838-2024 FSC-klagomål.docx", "A 16838-2024")</f>
        <v/>
      </c>
      <c r="W970">
        <f>HYPERLINK("https://klasma.github.io/Logging_2082/klagomålsmail/A 16838-2024 FSC-klagomål mail.docx", "A 16838-2024")</f>
        <v/>
      </c>
      <c r="X970">
        <f>HYPERLINK("https://klasma.github.io/Logging_2082/tillsyn/A 16838-2024 tillsynsbegäran.docx", "A 16838-2024")</f>
        <v/>
      </c>
      <c r="Y970">
        <f>HYPERLINK("https://klasma.github.io/Logging_2082/tillsynsmail/A 16838-2024 tillsynsbegäran mail.docx", "A 16838-2024")</f>
        <v/>
      </c>
    </row>
    <row r="971" ht="15" customHeight="1">
      <c r="A971" t="inlineStr">
        <is>
          <t>A 17784-2024</t>
        </is>
      </c>
      <c r="B971" s="1" t="n">
        <v>45415</v>
      </c>
      <c r="C971" s="1" t="n">
        <v>45706</v>
      </c>
      <c r="D971" t="inlineStr">
        <is>
          <t>DALARNAS LÄN</t>
        </is>
      </c>
      <c r="E971" t="inlineStr">
        <is>
          <t>ÄLVDALEN</t>
        </is>
      </c>
      <c r="F971" t="inlineStr">
        <is>
          <t>Övriga statliga verk och myndigheter</t>
        </is>
      </c>
      <c r="G971" t="n">
        <v>20.4</v>
      </c>
      <c r="H971" t="n">
        <v>1</v>
      </c>
      <c r="I971" t="n">
        <v>1</v>
      </c>
      <c r="J971" t="n">
        <v>0</v>
      </c>
      <c r="K971" t="n">
        <v>0</v>
      </c>
      <c r="L971" t="n">
        <v>0</v>
      </c>
      <c r="M971" t="n">
        <v>0</v>
      </c>
      <c r="N971" t="n">
        <v>0</v>
      </c>
      <c r="O971" t="n">
        <v>0</v>
      </c>
      <c r="P971" t="n">
        <v>0</v>
      </c>
      <c r="Q971" t="n">
        <v>1</v>
      </c>
      <c r="R971" s="2" t="inlineStr">
        <is>
          <t>Plattlummer</t>
        </is>
      </c>
      <c r="S971">
        <f>HYPERLINK("https://klasma.github.io/Logging_2039/artfynd/A 17784-2024 artfynd.xlsx", "A 17784-2024")</f>
        <v/>
      </c>
      <c r="T971">
        <f>HYPERLINK("https://klasma.github.io/Logging_2039/kartor/A 17784-2024 karta.png", "A 17784-2024")</f>
        <v/>
      </c>
      <c r="V971">
        <f>HYPERLINK("https://klasma.github.io/Logging_2039/klagomål/A 17784-2024 FSC-klagomål.docx", "A 17784-2024")</f>
        <v/>
      </c>
      <c r="W971">
        <f>HYPERLINK("https://klasma.github.io/Logging_2039/klagomålsmail/A 17784-2024 FSC-klagomål mail.docx", "A 17784-2024")</f>
        <v/>
      </c>
      <c r="X971">
        <f>HYPERLINK("https://klasma.github.io/Logging_2039/tillsyn/A 17784-2024 tillsynsbegäran.docx", "A 17784-2024")</f>
        <v/>
      </c>
      <c r="Y971">
        <f>HYPERLINK("https://klasma.github.io/Logging_2039/tillsynsmail/A 17784-2024 tillsynsbegäran mail.docx", "A 17784-2024")</f>
        <v/>
      </c>
    </row>
    <row r="972" ht="15" customHeight="1">
      <c r="A972" t="inlineStr">
        <is>
          <t>A 17734-2024</t>
        </is>
      </c>
      <c r="B972" s="1" t="n">
        <v>45415</v>
      </c>
      <c r="C972" s="1" t="n">
        <v>45706</v>
      </c>
      <c r="D972" t="inlineStr">
        <is>
          <t>DALARNAS LÄN</t>
        </is>
      </c>
      <c r="E972" t="inlineStr">
        <is>
          <t>RÄTTVIK</t>
        </is>
      </c>
      <c r="G972" t="n">
        <v>9.300000000000001</v>
      </c>
      <c r="H972" t="n">
        <v>0</v>
      </c>
      <c r="I972" t="n">
        <v>1</v>
      </c>
      <c r="J972" t="n">
        <v>0</v>
      </c>
      <c r="K972" t="n">
        <v>0</v>
      </c>
      <c r="L972" t="n">
        <v>0</v>
      </c>
      <c r="M972" t="n">
        <v>0</v>
      </c>
      <c r="N972" t="n">
        <v>0</v>
      </c>
      <c r="O972" t="n">
        <v>0</v>
      </c>
      <c r="P972" t="n">
        <v>0</v>
      </c>
      <c r="Q972" t="n">
        <v>1</v>
      </c>
      <c r="R972" s="2" t="inlineStr">
        <is>
          <t>Bollvitmossa</t>
        </is>
      </c>
      <c r="S972">
        <f>HYPERLINK("https://klasma.github.io/Logging_2031/artfynd/A 17734-2024 artfynd.xlsx", "A 17734-2024")</f>
        <v/>
      </c>
      <c r="T972">
        <f>HYPERLINK("https://klasma.github.io/Logging_2031/kartor/A 17734-2024 karta.png", "A 17734-2024")</f>
        <v/>
      </c>
      <c r="V972">
        <f>HYPERLINK("https://klasma.github.io/Logging_2031/klagomål/A 17734-2024 FSC-klagomål.docx", "A 17734-2024")</f>
        <v/>
      </c>
      <c r="W972">
        <f>HYPERLINK("https://klasma.github.io/Logging_2031/klagomålsmail/A 17734-2024 FSC-klagomål mail.docx", "A 17734-2024")</f>
        <v/>
      </c>
      <c r="X972">
        <f>HYPERLINK("https://klasma.github.io/Logging_2031/tillsyn/A 17734-2024 tillsynsbegäran.docx", "A 17734-2024")</f>
        <v/>
      </c>
      <c r="Y972">
        <f>HYPERLINK("https://klasma.github.io/Logging_2031/tillsynsmail/A 17734-2024 tillsynsbegäran mail.docx", "A 17734-2024")</f>
        <v/>
      </c>
    </row>
    <row r="973" ht="15" customHeight="1">
      <c r="A973" t="inlineStr">
        <is>
          <t>A 18020-2024</t>
        </is>
      </c>
      <c r="B973" s="1" t="n">
        <v>45420</v>
      </c>
      <c r="C973" s="1" t="n">
        <v>45706</v>
      </c>
      <c r="D973" t="inlineStr">
        <is>
          <t>DALARNAS LÄN</t>
        </is>
      </c>
      <c r="E973" t="inlineStr">
        <is>
          <t>SMEDJEBACKEN</t>
        </is>
      </c>
      <c r="F973" t="inlineStr">
        <is>
          <t>Sveaskog</t>
        </is>
      </c>
      <c r="G973" t="n">
        <v>2.1</v>
      </c>
      <c r="H973" t="n">
        <v>0</v>
      </c>
      <c r="I973" t="n">
        <v>1</v>
      </c>
      <c r="J973" t="n">
        <v>0</v>
      </c>
      <c r="K973" t="n">
        <v>0</v>
      </c>
      <c r="L973" t="n">
        <v>0</v>
      </c>
      <c r="M973" t="n">
        <v>0</v>
      </c>
      <c r="N973" t="n">
        <v>0</v>
      </c>
      <c r="O973" t="n">
        <v>0</v>
      </c>
      <c r="P973" t="n">
        <v>0</v>
      </c>
      <c r="Q973" t="n">
        <v>1</v>
      </c>
      <c r="R973" s="2" t="inlineStr">
        <is>
          <t>Svavelriska</t>
        </is>
      </c>
      <c r="S973">
        <f>HYPERLINK("https://klasma.github.io/Logging_2061/artfynd/A 18020-2024 artfynd.xlsx", "A 18020-2024")</f>
        <v/>
      </c>
      <c r="T973">
        <f>HYPERLINK("https://klasma.github.io/Logging_2061/kartor/A 18020-2024 karta.png", "A 18020-2024")</f>
        <v/>
      </c>
      <c r="V973">
        <f>HYPERLINK("https://klasma.github.io/Logging_2061/klagomål/A 18020-2024 FSC-klagomål.docx", "A 18020-2024")</f>
        <v/>
      </c>
      <c r="W973">
        <f>HYPERLINK("https://klasma.github.io/Logging_2061/klagomålsmail/A 18020-2024 FSC-klagomål mail.docx", "A 18020-2024")</f>
        <v/>
      </c>
      <c r="X973">
        <f>HYPERLINK("https://klasma.github.io/Logging_2061/tillsyn/A 18020-2024 tillsynsbegäran.docx", "A 18020-2024")</f>
        <v/>
      </c>
      <c r="Y973">
        <f>HYPERLINK("https://klasma.github.io/Logging_2061/tillsynsmail/A 18020-2024 tillsynsbegäran mail.docx", "A 18020-2024")</f>
        <v/>
      </c>
    </row>
    <row r="974" ht="15" customHeight="1">
      <c r="A974" t="inlineStr">
        <is>
          <t>A 18971-2024</t>
        </is>
      </c>
      <c r="B974" s="1" t="n">
        <v>45427</v>
      </c>
      <c r="C974" s="1" t="n">
        <v>45706</v>
      </c>
      <c r="D974" t="inlineStr">
        <is>
          <t>DALARNAS LÄN</t>
        </is>
      </c>
      <c r="E974" t="inlineStr">
        <is>
          <t>BORLÄNGE</t>
        </is>
      </c>
      <c r="F974" t="inlineStr">
        <is>
          <t>Bergvik skog väst AB</t>
        </is>
      </c>
      <c r="G974" t="n">
        <v>2.7</v>
      </c>
      <c r="H974" t="n">
        <v>1</v>
      </c>
      <c r="I974" t="n">
        <v>0</v>
      </c>
      <c r="J974" t="n">
        <v>0</v>
      </c>
      <c r="K974" t="n">
        <v>1</v>
      </c>
      <c r="L974" t="n">
        <v>0</v>
      </c>
      <c r="M974" t="n">
        <v>0</v>
      </c>
      <c r="N974" t="n">
        <v>0</v>
      </c>
      <c r="O974" t="n">
        <v>1</v>
      </c>
      <c r="P974" t="n">
        <v>1</v>
      </c>
      <c r="Q974" t="n">
        <v>1</v>
      </c>
      <c r="R974" s="2" t="inlineStr">
        <is>
          <t>Knärot</t>
        </is>
      </c>
      <c r="S974">
        <f>HYPERLINK("https://klasma.github.io/Logging_2081/artfynd/A 18971-2024 artfynd.xlsx", "A 18971-2024")</f>
        <v/>
      </c>
      <c r="T974">
        <f>HYPERLINK("https://klasma.github.io/Logging_2081/kartor/A 18971-2024 karta.png", "A 18971-2024")</f>
        <v/>
      </c>
      <c r="U974">
        <f>HYPERLINK("https://klasma.github.io/Logging_2081/knärot/A 18971-2024 karta knärot.png", "A 18971-2024")</f>
        <v/>
      </c>
      <c r="V974">
        <f>HYPERLINK("https://klasma.github.io/Logging_2081/klagomål/A 18971-2024 FSC-klagomål.docx", "A 18971-2024")</f>
        <v/>
      </c>
      <c r="W974">
        <f>HYPERLINK("https://klasma.github.io/Logging_2081/klagomålsmail/A 18971-2024 FSC-klagomål mail.docx", "A 18971-2024")</f>
        <v/>
      </c>
      <c r="X974">
        <f>HYPERLINK("https://klasma.github.io/Logging_2081/tillsyn/A 18971-2024 tillsynsbegäran.docx", "A 18971-2024")</f>
        <v/>
      </c>
      <c r="Y974">
        <f>HYPERLINK("https://klasma.github.io/Logging_2081/tillsynsmail/A 18971-2024 tillsynsbegäran mail.docx", "A 18971-2024")</f>
        <v/>
      </c>
    </row>
    <row r="975" ht="15" customHeight="1">
      <c r="A975" t="inlineStr">
        <is>
          <t>A 19374-2024</t>
        </is>
      </c>
      <c r="B975" s="1" t="n">
        <v>45429</v>
      </c>
      <c r="C975" s="1" t="n">
        <v>45706</v>
      </c>
      <c r="D975" t="inlineStr">
        <is>
          <t>DALARNAS LÄN</t>
        </is>
      </c>
      <c r="E975" t="inlineStr">
        <is>
          <t>MALUNG-SÄLEN</t>
        </is>
      </c>
      <c r="F975" t="inlineStr">
        <is>
          <t>Bergvik skog öst AB</t>
        </is>
      </c>
      <c r="G975" t="n">
        <v>1.1</v>
      </c>
      <c r="H975" t="n">
        <v>0</v>
      </c>
      <c r="I975" t="n">
        <v>1</v>
      </c>
      <c r="J975" t="n">
        <v>0</v>
      </c>
      <c r="K975" t="n">
        <v>0</v>
      </c>
      <c r="L975" t="n">
        <v>0</v>
      </c>
      <c r="M975" t="n">
        <v>0</v>
      </c>
      <c r="N975" t="n">
        <v>0</v>
      </c>
      <c r="O975" t="n">
        <v>0</v>
      </c>
      <c r="P975" t="n">
        <v>0</v>
      </c>
      <c r="Q975" t="n">
        <v>1</v>
      </c>
      <c r="R975" s="2" t="inlineStr">
        <is>
          <t>Skarp dropptaggsvamp</t>
        </is>
      </c>
      <c r="S975">
        <f>HYPERLINK("https://klasma.github.io/Logging_2023/artfynd/A 19374-2024 artfynd.xlsx", "A 19374-2024")</f>
        <v/>
      </c>
      <c r="T975">
        <f>HYPERLINK("https://klasma.github.io/Logging_2023/kartor/A 19374-2024 karta.png", "A 19374-2024")</f>
        <v/>
      </c>
      <c r="V975">
        <f>HYPERLINK("https://klasma.github.io/Logging_2023/klagomål/A 19374-2024 FSC-klagomål.docx", "A 19374-2024")</f>
        <v/>
      </c>
      <c r="W975">
        <f>HYPERLINK("https://klasma.github.io/Logging_2023/klagomålsmail/A 19374-2024 FSC-klagomål mail.docx", "A 19374-2024")</f>
        <v/>
      </c>
      <c r="X975">
        <f>HYPERLINK("https://klasma.github.io/Logging_2023/tillsyn/A 19374-2024 tillsynsbegäran.docx", "A 19374-2024")</f>
        <v/>
      </c>
      <c r="Y975">
        <f>HYPERLINK("https://klasma.github.io/Logging_2023/tillsynsmail/A 19374-2024 tillsynsbegäran mail.docx", "A 19374-2024")</f>
        <v/>
      </c>
    </row>
    <row r="976" ht="15" customHeight="1">
      <c r="A976" t="inlineStr">
        <is>
          <t>A 19614-2024</t>
        </is>
      </c>
      <c r="B976" s="1" t="n">
        <v>45432</v>
      </c>
      <c r="C976" s="1" t="n">
        <v>45706</v>
      </c>
      <c r="D976" t="inlineStr">
        <is>
          <t>DALARNAS LÄN</t>
        </is>
      </c>
      <c r="E976" t="inlineStr">
        <is>
          <t>ÄLVDALEN</t>
        </is>
      </c>
      <c r="F976" t="inlineStr">
        <is>
          <t>Sveaskog</t>
        </is>
      </c>
      <c r="G976" t="n">
        <v>2.9</v>
      </c>
      <c r="H976" t="n">
        <v>0</v>
      </c>
      <c r="I976" t="n">
        <v>0</v>
      </c>
      <c r="J976" t="n">
        <v>1</v>
      </c>
      <c r="K976" t="n">
        <v>0</v>
      </c>
      <c r="L976" t="n">
        <v>0</v>
      </c>
      <c r="M976" t="n">
        <v>0</v>
      </c>
      <c r="N976" t="n">
        <v>0</v>
      </c>
      <c r="O976" t="n">
        <v>1</v>
      </c>
      <c r="P976" t="n">
        <v>0</v>
      </c>
      <c r="Q976" t="n">
        <v>1</v>
      </c>
      <c r="R976" s="2" t="inlineStr">
        <is>
          <t>Mörk kolflarnlav</t>
        </is>
      </c>
      <c r="S976">
        <f>HYPERLINK("https://klasma.github.io/Logging_2039/artfynd/A 19614-2024 artfynd.xlsx", "A 19614-2024")</f>
        <v/>
      </c>
      <c r="T976">
        <f>HYPERLINK("https://klasma.github.io/Logging_2039/kartor/A 19614-2024 karta.png", "A 19614-2024")</f>
        <v/>
      </c>
      <c r="V976">
        <f>HYPERLINK("https://klasma.github.io/Logging_2039/klagomål/A 19614-2024 FSC-klagomål.docx", "A 19614-2024")</f>
        <v/>
      </c>
      <c r="W976">
        <f>HYPERLINK("https://klasma.github.io/Logging_2039/klagomålsmail/A 19614-2024 FSC-klagomål mail.docx", "A 19614-2024")</f>
        <v/>
      </c>
      <c r="X976">
        <f>HYPERLINK("https://klasma.github.io/Logging_2039/tillsyn/A 19614-2024 tillsynsbegäran.docx", "A 19614-2024")</f>
        <v/>
      </c>
      <c r="Y976">
        <f>HYPERLINK("https://klasma.github.io/Logging_2039/tillsynsmail/A 19614-2024 tillsynsbegäran mail.docx", "A 19614-2024")</f>
        <v/>
      </c>
    </row>
    <row r="977" ht="15" customHeight="1">
      <c r="A977" t="inlineStr">
        <is>
          <t>A 20084-2024</t>
        </is>
      </c>
      <c r="B977" s="1" t="n">
        <v>45434</v>
      </c>
      <c r="C977" s="1" t="n">
        <v>45706</v>
      </c>
      <c r="D977" t="inlineStr">
        <is>
          <t>DALARNAS LÄN</t>
        </is>
      </c>
      <c r="E977" t="inlineStr">
        <is>
          <t>AVESTA</t>
        </is>
      </c>
      <c r="G977" t="n">
        <v>5.7</v>
      </c>
      <c r="H977" t="n">
        <v>0</v>
      </c>
      <c r="I977" t="n">
        <v>0</v>
      </c>
      <c r="J977" t="n">
        <v>1</v>
      </c>
      <c r="K977" t="n">
        <v>0</v>
      </c>
      <c r="L977" t="n">
        <v>0</v>
      </c>
      <c r="M977" t="n">
        <v>0</v>
      </c>
      <c r="N977" t="n">
        <v>0</v>
      </c>
      <c r="O977" t="n">
        <v>1</v>
      </c>
      <c r="P977" t="n">
        <v>0</v>
      </c>
      <c r="Q977" t="n">
        <v>1</v>
      </c>
      <c r="R977" s="2" t="inlineStr">
        <is>
          <t>Klasefibbla</t>
        </is>
      </c>
      <c r="S977">
        <f>HYPERLINK("https://klasma.github.io/Logging_2084/artfynd/A 20084-2024 artfynd.xlsx", "A 20084-2024")</f>
        <v/>
      </c>
      <c r="T977">
        <f>HYPERLINK("https://klasma.github.io/Logging_2084/kartor/A 20084-2024 karta.png", "A 20084-2024")</f>
        <v/>
      </c>
      <c r="V977">
        <f>HYPERLINK("https://klasma.github.io/Logging_2084/klagomål/A 20084-2024 FSC-klagomål.docx", "A 20084-2024")</f>
        <v/>
      </c>
      <c r="W977">
        <f>HYPERLINK("https://klasma.github.io/Logging_2084/klagomålsmail/A 20084-2024 FSC-klagomål mail.docx", "A 20084-2024")</f>
        <v/>
      </c>
      <c r="X977">
        <f>HYPERLINK("https://klasma.github.io/Logging_2084/tillsyn/A 20084-2024 tillsynsbegäran.docx", "A 20084-2024")</f>
        <v/>
      </c>
      <c r="Y977">
        <f>HYPERLINK("https://klasma.github.io/Logging_2084/tillsynsmail/A 20084-2024 tillsynsbegäran mail.docx", "A 20084-2024")</f>
        <v/>
      </c>
    </row>
    <row r="978" ht="15" customHeight="1">
      <c r="A978" t="inlineStr">
        <is>
          <t>A 20186-2024</t>
        </is>
      </c>
      <c r="B978" s="1" t="n">
        <v>45434</v>
      </c>
      <c r="C978" s="1" t="n">
        <v>45706</v>
      </c>
      <c r="D978" t="inlineStr">
        <is>
          <t>DALARNAS LÄN</t>
        </is>
      </c>
      <c r="E978" t="inlineStr">
        <is>
          <t>FALUN</t>
        </is>
      </c>
      <c r="G978" t="n">
        <v>0.9</v>
      </c>
      <c r="H978" t="n">
        <v>1</v>
      </c>
      <c r="I978" t="n">
        <v>0</v>
      </c>
      <c r="J978" t="n">
        <v>0</v>
      </c>
      <c r="K978" t="n">
        <v>1</v>
      </c>
      <c r="L978" t="n">
        <v>0</v>
      </c>
      <c r="M978" t="n">
        <v>0</v>
      </c>
      <c r="N978" t="n">
        <v>0</v>
      </c>
      <c r="O978" t="n">
        <v>1</v>
      </c>
      <c r="P978" t="n">
        <v>1</v>
      </c>
      <c r="Q978" t="n">
        <v>1</v>
      </c>
      <c r="R978" s="2" t="inlineStr">
        <is>
          <t>Knärot</t>
        </is>
      </c>
      <c r="S978">
        <f>HYPERLINK("https://klasma.github.io/Logging_2080/artfynd/A 20186-2024 artfynd.xlsx", "A 20186-2024")</f>
        <v/>
      </c>
      <c r="T978">
        <f>HYPERLINK("https://klasma.github.io/Logging_2080/kartor/A 20186-2024 karta.png", "A 20186-2024")</f>
        <v/>
      </c>
      <c r="U978">
        <f>HYPERLINK("https://klasma.github.io/Logging_2080/knärot/A 20186-2024 karta knärot.png", "A 20186-2024")</f>
        <v/>
      </c>
      <c r="V978">
        <f>HYPERLINK("https://klasma.github.io/Logging_2080/klagomål/A 20186-2024 FSC-klagomål.docx", "A 20186-2024")</f>
        <v/>
      </c>
      <c r="W978">
        <f>HYPERLINK("https://klasma.github.io/Logging_2080/klagomålsmail/A 20186-2024 FSC-klagomål mail.docx", "A 20186-2024")</f>
        <v/>
      </c>
      <c r="X978">
        <f>HYPERLINK("https://klasma.github.io/Logging_2080/tillsyn/A 20186-2024 tillsynsbegäran.docx", "A 20186-2024")</f>
        <v/>
      </c>
      <c r="Y978">
        <f>HYPERLINK("https://klasma.github.io/Logging_2080/tillsynsmail/A 20186-2024 tillsynsbegäran mail.docx", "A 20186-2024")</f>
        <v/>
      </c>
    </row>
    <row r="979" ht="15" customHeight="1">
      <c r="A979" t="inlineStr">
        <is>
          <t>A 20295-2024</t>
        </is>
      </c>
      <c r="B979" s="1" t="n">
        <v>45435</v>
      </c>
      <c r="C979" s="1" t="n">
        <v>45706</v>
      </c>
      <c r="D979" t="inlineStr">
        <is>
          <t>DALARNAS LÄN</t>
        </is>
      </c>
      <c r="E979" t="inlineStr">
        <is>
          <t>GAGNEF</t>
        </is>
      </c>
      <c r="G979" t="n">
        <v>6.3</v>
      </c>
      <c r="H979" t="n">
        <v>0</v>
      </c>
      <c r="I979" t="n">
        <v>0</v>
      </c>
      <c r="J979" t="n">
        <v>1</v>
      </c>
      <c r="K979" t="n">
        <v>0</v>
      </c>
      <c r="L979" t="n">
        <v>0</v>
      </c>
      <c r="M979" t="n">
        <v>0</v>
      </c>
      <c r="N979" t="n">
        <v>0</v>
      </c>
      <c r="O979" t="n">
        <v>1</v>
      </c>
      <c r="P979" t="n">
        <v>0</v>
      </c>
      <c r="Q979" t="n">
        <v>1</v>
      </c>
      <c r="R979" s="2" t="inlineStr">
        <is>
          <t>Garnlav</t>
        </is>
      </c>
      <c r="S979">
        <f>HYPERLINK("https://klasma.github.io/Logging_2026/artfynd/A 20295-2024 artfynd.xlsx", "A 20295-2024")</f>
        <v/>
      </c>
      <c r="T979">
        <f>HYPERLINK("https://klasma.github.io/Logging_2026/kartor/A 20295-2024 karta.png", "A 20295-2024")</f>
        <v/>
      </c>
      <c r="V979">
        <f>HYPERLINK("https://klasma.github.io/Logging_2026/klagomål/A 20295-2024 FSC-klagomål.docx", "A 20295-2024")</f>
        <v/>
      </c>
      <c r="W979">
        <f>HYPERLINK("https://klasma.github.io/Logging_2026/klagomålsmail/A 20295-2024 FSC-klagomål mail.docx", "A 20295-2024")</f>
        <v/>
      </c>
      <c r="X979">
        <f>HYPERLINK("https://klasma.github.io/Logging_2026/tillsyn/A 20295-2024 tillsynsbegäran.docx", "A 20295-2024")</f>
        <v/>
      </c>
      <c r="Y979">
        <f>HYPERLINK("https://klasma.github.io/Logging_2026/tillsynsmail/A 20295-2024 tillsynsbegäran mail.docx", "A 20295-2024")</f>
        <v/>
      </c>
    </row>
    <row r="980" ht="15" customHeight="1">
      <c r="A980" t="inlineStr">
        <is>
          <t>A 20794-2024</t>
        </is>
      </c>
      <c r="B980" s="1" t="n">
        <v>45438</v>
      </c>
      <c r="C980" s="1" t="n">
        <v>45706</v>
      </c>
      <c r="D980" t="inlineStr">
        <is>
          <t>DALARNAS LÄN</t>
        </is>
      </c>
      <c r="E980" t="inlineStr">
        <is>
          <t>LEKSAND</t>
        </is>
      </c>
      <c r="G980" t="n">
        <v>6.1</v>
      </c>
      <c r="H980" t="n">
        <v>1</v>
      </c>
      <c r="I980" t="n">
        <v>0</v>
      </c>
      <c r="J980" t="n">
        <v>1</v>
      </c>
      <c r="K980" t="n">
        <v>0</v>
      </c>
      <c r="L980" t="n">
        <v>0</v>
      </c>
      <c r="M980" t="n">
        <v>0</v>
      </c>
      <c r="N980" t="n">
        <v>0</v>
      </c>
      <c r="O980" t="n">
        <v>1</v>
      </c>
      <c r="P980" t="n">
        <v>0</v>
      </c>
      <c r="Q980" t="n">
        <v>1</v>
      </c>
      <c r="R980" s="2" t="inlineStr">
        <is>
          <t>Utter</t>
        </is>
      </c>
      <c r="S980">
        <f>HYPERLINK("https://klasma.github.io/Logging_2029/artfynd/A 20794-2024 artfynd.xlsx", "A 20794-2024")</f>
        <v/>
      </c>
      <c r="T980">
        <f>HYPERLINK("https://klasma.github.io/Logging_2029/kartor/A 20794-2024 karta.png", "A 20794-2024")</f>
        <v/>
      </c>
      <c r="V980">
        <f>HYPERLINK("https://klasma.github.io/Logging_2029/klagomål/A 20794-2024 FSC-klagomål.docx", "A 20794-2024")</f>
        <v/>
      </c>
      <c r="W980">
        <f>HYPERLINK("https://klasma.github.io/Logging_2029/klagomålsmail/A 20794-2024 FSC-klagomål mail.docx", "A 20794-2024")</f>
        <v/>
      </c>
      <c r="X980">
        <f>HYPERLINK("https://klasma.github.io/Logging_2029/tillsyn/A 20794-2024 tillsynsbegäran.docx", "A 20794-2024")</f>
        <v/>
      </c>
      <c r="Y980">
        <f>HYPERLINK("https://klasma.github.io/Logging_2029/tillsynsmail/A 20794-2024 tillsynsbegäran mail.docx", "A 20794-2024")</f>
        <v/>
      </c>
    </row>
    <row r="981" ht="15" customHeight="1">
      <c r="A981" t="inlineStr">
        <is>
          <t>A 21535-2024</t>
        </is>
      </c>
      <c r="B981" s="1" t="n">
        <v>45441</v>
      </c>
      <c r="C981" s="1" t="n">
        <v>45706</v>
      </c>
      <c r="D981" t="inlineStr">
        <is>
          <t>DALARNAS LÄN</t>
        </is>
      </c>
      <c r="E981" t="inlineStr">
        <is>
          <t>HEDEMORA</t>
        </is>
      </c>
      <c r="F981" t="inlineStr">
        <is>
          <t>Sveaskog</t>
        </is>
      </c>
      <c r="G981" t="n">
        <v>3.4</v>
      </c>
      <c r="H981" t="n">
        <v>1</v>
      </c>
      <c r="I981" t="n">
        <v>0</v>
      </c>
      <c r="J981" t="n">
        <v>0</v>
      </c>
      <c r="K981" t="n">
        <v>1</v>
      </c>
      <c r="L981" t="n">
        <v>0</v>
      </c>
      <c r="M981" t="n">
        <v>0</v>
      </c>
      <c r="N981" t="n">
        <v>0</v>
      </c>
      <c r="O981" t="n">
        <v>1</v>
      </c>
      <c r="P981" t="n">
        <v>1</v>
      </c>
      <c r="Q981" t="n">
        <v>1</v>
      </c>
      <c r="R981" s="2" t="inlineStr">
        <is>
          <t>Knärot</t>
        </is>
      </c>
      <c r="S981">
        <f>HYPERLINK("https://klasma.github.io/Logging_2083/artfynd/A 21535-2024 artfynd.xlsx", "A 21535-2024")</f>
        <v/>
      </c>
      <c r="T981">
        <f>HYPERLINK("https://klasma.github.io/Logging_2083/kartor/A 21535-2024 karta.png", "A 21535-2024")</f>
        <v/>
      </c>
      <c r="U981">
        <f>HYPERLINK("https://klasma.github.io/Logging_2083/knärot/A 21535-2024 karta knärot.png", "A 21535-2024")</f>
        <v/>
      </c>
      <c r="V981">
        <f>HYPERLINK("https://klasma.github.io/Logging_2083/klagomål/A 21535-2024 FSC-klagomål.docx", "A 21535-2024")</f>
        <v/>
      </c>
      <c r="W981">
        <f>HYPERLINK("https://klasma.github.io/Logging_2083/klagomålsmail/A 21535-2024 FSC-klagomål mail.docx", "A 21535-2024")</f>
        <v/>
      </c>
      <c r="X981">
        <f>HYPERLINK("https://klasma.github.io/Logging_2083/tillsyn/A 21535-2024 tillsynsbegäran.docx", "A 21535-2024")</f>
        <v/>
      </c>
      <c r="Y981">
        <f>HYPERLINK("https://klasma.github.io/Logging_2083/tillsynsmail/A 21535-2024 tillsynsbegäran mail.docx", "A 21535-2024")</f>
        <v/>
      </c>
    </row>
    <row r="982" ht="15" customHeight="1">
      <c r="A982" t="inlineStr">
        <is>
          <t>A 21507-2024</t>
        </is>
      </c>
      <c r="B982" s="1" t="n">
        <v>45441</v>
      </c>
      <c r="C982" s="1" t="n">
        <v>45706</v>
      </c>
      <c r="D982" t="inlineStr">
        <is>
          <t>DALARNAS LÄN</t>
        </is>
      </c>
      <c r="E982" t="inlineStr">
        <is>
          <t>SMEDJEBACKEN</t>
        </is>
      </c>
      <c r="F982" t="inlineStr">
        <is>
          <t>Sveaskog</t>
        </is>
      </c>
      <c r="G982" t="n">
        <v>16</v>
      </c>
      <c r="H982" t="n">
        <v>0</v>
      </c>
      <c r="I982" t="n">
        <v>0</v>
      </c>
      <c r="J982" t="n">
        <v>1</v>
      </c>
      <c r="K982" t="n">
        <v>0</v>
      </c>
      <c r="L982" t="n">
        <v>0</v>
      </c>
      <c r="M982" t="n">
        <v>0</v>
      </c>
      <c r="N982" t="n">
        <v>0</v>
      </c>
      <c r="O982" t="n">
        <v>1</v>
      </c>
      <c r="P982" t="n">
        <v>0</v>
      </c>
      <c r="Q982" t="n">
        <v>1</v>
      </c>
      <c r="R982" s="2" t="inlineStr">
        <is>
          <t>Ullticka</t>
        </is>
      </c>
      <c r="S982">
        <f>HYPERLINK("https://klasma.github.io/Logging_2061/artfynd/A 21507-2024 artfynd.xlsx", "A 21507-2024")</f>
        <v/>
      </c>
      <c r="T982">
        <f>HYPERLINK("https://klasma.github.io/Logging_2061/kartor/A 21507-2024 karta.png", "A 21507-2024")</f>
        <v/>
      </c>
      <c r="V982">
        <f>HYPERLINK("https://klasma.github.io/Logging_2061/klagomål/A 21507-2024 FSC-klagomål.docx", "A 21507-2024")</f>
        <v/>
      </c>
      <c r="W982">
        <f>HYPERLINK("https://klasma.github.io/Logging_2061/klagomålsmail/A 21507-2024 FSC-klagomål mail.docx", "A 21507-2024")</f>
        <v/>
      </c>
      <c r="X982">
        <f>HYPERLINK("https://klasma.github.io/Logging_2061/tillsyn/A 21507-2024 tillsynsbegäran.docx", "A 21507-2024")</f>
        <v/>
      </c>
      <c r="Y982">
        <f>HYPERLINK("https://klasma.github.io/Logging_2061/tillsynsmail/A 21507-2024 tillsynsbegäran mail.docx", "A 21507-2024")</f>
        <v/>
      </c>
    </row>
    <row r="983" ht="15" customHeight="1">
      <c r="A983" t="inlineStr">
        <is>
          <t>A 21658-2024</t>
        </is>
      </c>
      <c r="B983" s="1" t="n">
        <v>45442</v>
      </c>
      <c r="C983" s="1" t="n">
        <v>45706</v>
      </c>
      <c r="D983" t="inlineStr">
        <is>
          <t>DALARNAS LÄN</t>
        </is>
      </c>
      <c r="E983" t="inlineStr">
        <is>
          <t>ÄLVDALEN</t>
        </is>
      </c>
      <c r="F983" t="inlineStr">
        <is>
          <t>Sveaskog</t>
        </is>
      </c>
      <c r="G983" t="n">
        <v>4.2</v>
      </c>
      <c r="H983" t="n">
        <v>1</v>
      </c>
      <c r="I983" t="n">
        <v>0</v>
      </c>
      <c r="J983" t="n">
        <v>1</v>
      </c>
      <c r="K983" t="n">
        <v>0</v>
      </c>
      <c r="L983" t="n">
        <v>0</v>
      </c>
      <c r="M983" t="n">
        <v>0</v>
      </c>
      <c r="N983" t="n">
        <v>0</v>
      </c>
      <c r="O983" t="n">
        <v>1</v>
      </c>
      <c r="P983" t="n">
        <v>0</v>
      </c>
      <c r="Q983" t="n">
        <v>1</v>
      </c>
      <c r="R983" s="2" t="inlineStr">
        <is>
          <t>Varglav</t>
        </is>
      </c>
      <c r="S983">
        <f>HYPERLINK("https://klasma.github.io/Logging_2039/artfynd/A 21658-2024 artfynd.xlsx", "A 21658-2024")</f>
        <v/>
      </c>
      <c r="T983">
        <f>HYPERLINK("https://klasma.github.io/Logging_2039/kartor/A 21658-2024 karta.png", "A 21658-2024")</f>
        <v/>
      </c>
      <c r="V983">
        <f>HYPERLINK("https://klasma.github.io/Logging_2039/klagomål/A 21658-2024 FSC-klagomål.docx", "A 21658-2024")</f>
        <v/>
      </c>
      <c r="W983">
        <f>HYPERLINK("https://klasma.github.io/Logging_2039/klagomålsmail/A 21658-2024 FSC-klagomål mail.docx", "A 21658-2024")</f>
        <v/>
      </c>
      <c r="X983">
        <f>HYPERLINK("https://klasma.github.io/Logging_2039/tillsyn/A 21658-2024 tillsynsbegäran.docx", "A 21658-2024")</f>
        <v/>
      </c>
      <c r="Y983">
        <f>HYPERLINK("https://klasma.github.io/Logging_2039/tillsynsmail/A 21658-2024 tillsynsbegäran mail.docx", "A 21658-2024")</f>
        <v/>
      </c>
    </row>
    <row r="984" ht="15" customHeight="1">
      <c r="A984" t="inlineStr">
        <is>
          <t>A 22186-2024</t>
        </is>
      </c>
      <c r="B984" s="1" t="n">
        <v>45446</v>
      </c>
      <c r="C984" s="1" t="n">
        <v>45706</v>
      </c>
      <c r="D984" t="inlineStr">
        <is>
          <t>DALARNAS LÄN</t>
        </is>
      </c>
      <c r="E984" t="inlineStr">
        <is>
          <t>MALUNG-SÄLEN</t>
        </is>
      </c>
      <c r="F984" t="inlineStr">
        <is>
          <t>Allmännings- och besparingsskogar</t>
        </is>
      </c>
      <c r="G984" t="n">
        <v>36</v>
      </c>
      <c r="H984" t="n">
        <v>1</v>
      </c>
      <c r="I984" t="n">
        <v>0</v>
      </c>
      <c r="J984" t="n">
        <v>1</v>
      </c>
      <c r="K984" t="n">
        <v>0</v>
      </c>
      <c r="L984" t="n">
        <v>0</v>
      </c>
      <c r="M984" t="n">
        <v>0</v>
      </c>
      <c r="N984" t="n">
        <v>0</v>
      </c>
      <c r="O984" t="n">
        <v>1</v>
      </c>
      <c r="P984" t="n">
        <v>0</v>
      </c>
      <c r="Q984" t="n">
        <v>1</v>
      </c>
      <c r="R984" s="2" t="inlineStr">
        <is>
          <t>Varglav</t>
        </is>
      </c>
      <c r="S984">
        <f>HYPERLINK("https://klasma.github.io/Logging_2023/artfynd/A 22186-2024 artfynd.xlsx", "A 22186-2024")</f>
        <v/>
      </c>
      <c r="T984">
        <f>HYPERLINK("https://klasma.github.io/Logging_2023/kartor/A 22186-2024 karta.png", "A 22186-2024")</f>
        <v/>
      </c>
      <c r="V984">
        <f>HYPERLINK("https://klasma.github.io/Logging_2023/klagomål/A 22186-2024 FSC-klagomål.docx", "A 22186-2024")</f>
        <v/>
      </c>
      <c r="W984">
        <f>HYPERLINK("https://klasma.github.io/Logging_2023/klagomålsmail/A 22186-2024 FSC-klagomål mail.docx", "A 22186-2024")</f>
        <v/>
      </c>
      <c r="X984">
        <f>HYPERLINK("https://klasma.github.io/Logging_2023/tillsyn/A 22186-2024 tillsynsbegäran.docx", "A 22186-2024")</f>
        <v/>
      </c>
      <c r="Y984">
        <f>HYPERLINK("https://klasma.github.io/Logging_2023/tillsynsmail/A 22186-2024 tillsynsbegäran mail.docx", "A 22186-2024")</f>
        <v/>
      </c>
    </row>
    <row r="985" ht="15" customHeight="1">
      <c r="A985" t="inlineStr">
        <is>
          <t>A 23414-2024</t>
        </is>
      </c>
      <c r="B985" s="1" t="n">
        <v>45453</v>
      </c>
      <c r="C985" s="1" t="n">
        <v>45706</v>
      </c>
      <c r="D985" t="inlineStr">
        <is>
          <t>DALARNAS LÄN</t>
        </is>
      </c>
      <c r="E985" t="inlineStr">
        <is>
          <t>VANSBRO</t>
        </is>
      </c>
      <c r="G985" t="n">
        <v>19.5</v>
      </c>
      <c r="H985" t="n">
        <v>1</v>
      </c>
      <c r="I985" t="n">
        <v>0</v>
      </c>
      <c r="J985" t="n">
        <v>0</v>
      </c>
      <c r="K985" t="n">
        <v>1</v>
      </c>
      <c r="L985" t="n">
        <v>0</v>
      </c>
      <c r="M985" t="n">
        <v>0</v>
      </c>
      <c r="N985" t="n">
        <v>0</v>
      </c>
      <c r="O985" t="n">
        <v>1</v>
      </c>
      <c r="P985" t="n">
        <v>1</v>
      </c>
      <c r="Q985" t="n">
        <v>1</v>
      </c>
      <c r="R985" s="2" t="inlineStr">
        <is>
          <t>Knärot</t>
        </is>
      </c>
      <c r="S985">
        <f>HYPERLINK("https://klasma.github.io/Logging_2021/artfynd/A 23414-2024 artfynd.xlsx", "A 23414-2024")</f>
        <v/>
      </c>
      <c r="T985">
        <f>HYPERLINK("https://klasma.github.io/Logging_2021/kartor/A 23414-2024 karta.png", "A 23414-2024")</f>
        <v/>
      </c>
      <c r="U985">
        <f>HYPERLINK("https://klasma.github.io/Logging_2021/knärot/A 23414-2024 karta knärot.png", "A 23414-2024")</f>
        <v/>
      </c>
      <c r="V985">
        <f>HYPERLINK("https://klasma.github.io/Logging_2021/klagomål/A 23414-2024 FSC-klagomål.docx", "A 23414-2024")</f>
        <v/>
      </c>
      <c r="W985">
        <f>HYPERLINK("https://klasma.github.io/Logging_2021/klagomålsmail/A 23414-2024 FSC-klagomål mail.docx", "A 23414-2024")</f>
        <v/>
      </c>
      <c r="X985">
        <f>HYPERLINK("https://klasma.github.io/Logging_2021/tillsyn/A 23414-2024 tillsynsbegäran.docx", "A 23414-2024")</f>
        <v/>
      </c>
      <c r="Y985">
        <f>HYPERLINK("https://klasma.github.io/Logging_2021/tillsynsmail/A 23414-2024 tillsynsbegäran mail.docx", "A 23414-2024")</f>
        <v/>
      </c>
    </row>
    <row r="986" ht="15" customHeight="1">
      <c r="A986" t="inlineStr">
        <is>
          <t>A 23417-2024</t>
        </is>
      </c>
      <c r="B986" s="1" t="n">
        <v>45453</v>
      </c>
      <c r="C986" s="1" t="n">
        <v>45706</v>
      </c>
      <c r="D986" t="inlineStr">
        <is>
          <t>DALARNAS LÄN</t>
        </is>
      </c>
      <c r="E986" t="inlineStr">
        <is>
          <t>LEKSAND</t>
        </is>
      </c>
      <c r="F986" t="inlineStr">
        <is>
          <t>Bergvik skog väst AB</t>
        </is>
      </c>
      <c r="G986" t="n">
        <v>39.9</v>
      </c>
      <c r="H986" t="n">
        <v>0</v>
      </c>
      <c r="I986" t="n">
        <v>0</v>
      </c>
      <c r="J986" t="n">
        <v>1</v>
      </c>
      <c r="K986" t="n">
        <v>0</v>
      </c>
      <c r="L986" t="n">
        <v>0</v>
      </c>
      <c r="M986" t="n">
        <v>0</v>
      </c>
      <c r="N986" t="n">
        <v>0</v>
      </c>
      <c r="O986" t="n">
        <v>1</v>
      </c>
      <c r="P986" t="n">
        <v>0</v>
      </c>
      <c r="Q986" t="n">
        <v>1</v>
      </c>
      <c r="R986" s="2" t="inlineStr">
        <is>
          <t>Tallticka</t>
        </is>
      </c>
      <c r="S986">
        <f>HYPERLINK("https://klasma.github.io/Logging_2029/artfynd/A 23417-2024 artfynd.xlsx", "A 23417-2024")</f>
        <v/>
      </c>
      <c r="T986">
        <f>HYPERLINK("https://klasma.github.io/Logging_2029/kartor/A 23417-2024 karta.png", "A 23417-2024")</f>
        <v/>
      </c>
      <c r="V986">
        <f>HYPERLINK("https://klasma.github.io/Logging_2029/klagomål/A 23417-2024 FSC-klagomål.docx", "A 23417-2024")</f>
        <v/>
      </c>
      <c r="W986">
        <f>HYPERLINK("https://klasma.github.io/Logging_2029/klagomålsmail/A 23417-2024 FSC-klagomål mail.docx", "A 23417-2024")</f>
        <v/>
      </c>
      <c r="X986">
        <f>HYPERLINK("https://klasma.github.io/Logging_2029/tillsyn/A 23417-2024 tillsynsbegäran.docx", "A 23417-2024")</f>
        <v/>
      </c>
      <c r="Y986">
        <f>HYPERLINK("https://klasma.github.io/Logging_2029/tillsynsmail/A 23417-2024 tillsynsbegäran mail.docx", "A 23417-2024")</f>
        <v/>
      </c>
    </row>
    <row r="987" ht="15" customHeight="1">
      <c r="A987" t="inlineStr">
        <is>
          <t>A 24907-2024</t>
        </is>
      </c>
      <c r="B987" s="1" t="n">
        <v>45461</v>
      </c>
      <c r="C987" s="1" t="n">
        <v>45706</v>
      </c>
      <c r="D987" t="inlineStr">
        <is>
          <t>DALARNAS LÄN</t>
        </is>
      </c>
      <c r="E987" t="inlineStr">
        <is>
          <t>MALUNG-SÄLEN</t>
        </is>
      </c>
      <c r="F987" t="inlineStr">
        <is>
          <t>Allmännings- och besparingsskogar</t>
        </is>
      </c>
      <c r="G987" t="n">
        <v>1.4</v>
      </c>
      <c r="H987" t="n">
        <v>1</v>
      </c>
      <c r="I987" t="n">
        <v>0</v>
      </c>
      <c r="J987" t="n">
        <v>1</v>
      </c>
      <c r="K987" t="n">
        <v>0</v>
      </c>
      <c r="L987" t="n">
        <v>0</v>
      </c>
      <c r="M987" t="n">
        <v>0</v>
      </c>
      <c r="N987" t="n">
        <v>0</v>
      </c>
      <c r="O987" t="n">
        <v>1</v>
      </c>
      <c r="P987" t="n">
        <v>0</v>
      </c>
      <c r="Q987" t="n">
        <v>1</v>
      </c>
      <c r="R987" s="2" t="inlineStr">
        <is>
          <t>Tretåig hackspett</t>
        </is>
      </c>
      <c r="S987">
        <f>HYPERLINK("https://klasma.github.io/Logging_2023/artfynd/A 24907-2024 artfynd.xlsx", "A 24907-2024")</f>
        <v/>
      </c>
      <c r="T987">
        <f>HYPERLINK("https://klasma.github.io/Logging_2023/kartor/A 24907-2024 karta.png", "A 24907-2024")</f>
        <v/>
      </c>
      <c r="V987">
        <f>HYPERLINK("https://klasma.github.io/Logging_2023/klagomål/A 24907-2024 FSC-klagomål.docx", "A 24907-2024")</f>
        <v/>
      </c>
      <c r="W987">
        <f>HYPERLINK("https://klasma.github.io/Logging_2023/klagomålsmail/A 24907-2024 FSC-klagomål mail.docx", "A 24907-2024")</f>
        <v/>
      </c>
      <c r="X987">
        <f>HYPERLINK("https://klasma.github.io/Logging_2023/tillsyn/A 24907-2024 tillsynsbegäran.docx", "A 24907-2024")</f>
        <v/>
      </c>
      <c r="Y987">
        <f>HYPERLINK("https://klasma.github.io/Logging_2023/tillsynsmail/A 24907-2024 tillsynsbegäran mail.docx", "A 24907-2024")</f>
        <v/>
      </c>
      <c r="Z987">
        <f>HYPERLINK("https://klasma.github.io/Logging_2023/fåglar/A 24907-2024 prioriterade fågelarter.docx", "A 24907-2024")</f>
        <v/>
      </c>
    </row>
    <row r="988" ht="15" customHeight="1">
      <c r="A988" t="inlineStr">
        <is>
          <t>A 26808-2024</t>
        </is>
      </c>
      <c r="B988" s="1" t="n">
        <v>45470</v>
      </c>
      <c r="C988" s="1" t="n">
        <v>45706</v>
      </c>
      <c r="D988" t="inlineStr">
        <is>
          <t>DALARNAS LÄN</t>
        </is>
      </c>
      <c r="E988" t="inlineStr">
        <is>
          <t>MORA</t>
        </is>
      </c>
      <c r="G988" t="n">
        <v>8.800000000000001</v>
      </c>
      <c r="H988" t="n">
        <v>0</v>
      </c>
      <c r="I988" t="n">
        <v>0</v>
      </c>
      <c r="J988" t="n">
        <v>1</v>
      </c>
      <c r="K988" t="n">
        <v>0</v>
      </c>
      <c r="L988" t="n">
        <v>0</v>
      </c>
      <c r="M988" t="n">
        <v>0</v>
      </c>
      <c r="N988" t="n">
        <v>0</v>
      </c>
      <c r="O988" t="n">
        <v>1</v>
      </c>
      <c r="P988" t="n">
        <v>0</v>
      </c>
      <c r="Q988" t="n">
        <v>1</v>
      </c>
      <c r="R988" s="2" t="inlineStr">
        <is>
          <t>Garnlav</t>
        </is>
      </c>
      <c r="S988">
        <f>HYPERLINK("https://klasma.github.io/Logging_2062/artfynd/A 26808-2024 artfynd.xlsx", "A 26808-2024")</f>
        <v/>
      </c>
      <c r="T988">
        <f>HYPERLINK("https://klasma.github.io/Logging_2062/kartor/A 26808-2024 karta.png", "A 26808-2024")</f>
        <v/>
      </c>
      <c r="V988">
        <f>HYPERLINK("https://klasma.github.io/Logging_2062/klagomål/A 26808-2024 FSC-klagomål.docx", "A 26808-2024")</f>
        <v/>
      </c>
      <c r="W988">
        <f>HYPERLINK("https://klasma.github.io/Logging_2062/klagomålsmail/A 26808-2024 FSC-klagomål mail.docx", "A 26808-2024")</f>
        <v/>
      </c>
      <c r="X988">
        <f>HYPERLINK("https://klasma.github.io/Logging_2062/tillsyn/A 26808-2024 tillsynsbegäran.docx", "A 26808-2024")</f>
        <v/>
      </c>
      <c r="Y988">
        <f>HYPERLINK("https://klasma.github.io/Logging_2062/tillsynsmail/A 26808-2024 tillsynsbegäran mail.docx", "A 26808-2024")</f>
        <v/>
      </c>
    </row>
    <row r="989" ht="15" customHeight="1">
      <c r="A989" t="inlineStr">
        <is>
          <t>A 27113-2024</t>
        </is>
      </c>
      <c r="B989" s="1" t="n">
        <v>45471</v>
      </c>
      <c r="C989" s="1" t="n">
        <v>45706</v>
      </c>
      <c r="D989" t="inlineStr">
        <is>
          <t>DALARNAS LÄN</t>
        </is>
      </c>
      <c r="E989" t="inlineStr">
        <is>
          <t>MORA</t>
        </is>
      </c>
      <c r="G989" t="n">
        <v>10.3</v>
      </c>
      <c r="H989" t="n">
        <v>0</v>
      </c>
      <c r="I989" t="n">
        <v>1</v>
      </c>
      <c r="J989" t="n">
        <v>0</v>
      </c>
      <c r="K989" t="n">
        <v>0</v>
      </c>
      <c r="L989" t="n">
        <v>0</v>
      </c>
      <c r="M989" t="n">
        <v>0</v>
      </c>
      <c r="N989" t="n">
        <v>0</v>
      </c>
      <c r="O989" t="n">
        <v>0</v>
      </c>
      <c r="P989" t="n">
        <v>0</v>
      </c>
      <c r="Q989" t="n">
        <v>1</v>
      </c>
      <c r="R989" s="2" t="inlineStr">
        <is>
          <t>Stor aspticka</t>
        </is>
      </c>
      <c r="S989">
        <f>HYPERLINK("https://klasma.github.io/Logging_2062/artfynd/A 27113-2024 artfynd.xlsx", "A 27113-2024")</f>
        <v/>
      </c>
      <c r="T989">
        <f>HYPERLINK("https://klasma.github.io/Logging_2062/kartor/A 27113-2024 karta.png", "A 27113-2024")</f>
        <v/>
      </c>
      <c r="V989">
        <f>HYPERLINK("https://klasma.github.io/Logging_2062/klagomål/A 27113-2024 FSC-klagomål.docx", "A 27113-2024")</f>
        <v/>
      </c>
      <c r="W989">
        <f>HYPERLINK("https://klasma.github.io/Logging_2062/klagomålsmail/A 27113-2024 FSC-klagomål mail.docx", "A 27113-2024")</f>
        <v/>
      </c>
      <c r="X989">
        <f>HYPERLINK("https://klasma.github.io/Logging_2062/tillsyn/A 27113-2024 tillsynsbegäran.docx", "A 27113-2024")</f>
        <v/>
      </c>
      <c r="Y989">
        <f>HYPERLINK("https://klasma.github.io/Logging_2062/tillsynsmail/A 27113-2024 tillsynsbegäran mail.docx", "A 27113-2024")</f>
        <v/>
      </c>
    </row>
    <row r="990" ht="15" customHeight="1">
      <c r="A990" t="inlineStr">
        <is>
          <t>A 27834-2024</t>
        </is>
      </c>
      <c r="B990" s="1" t="n">
        <v>45475</v>
      </c>
      <c r="C990" s="1" t="n">
        <v>45706</v>
      </c>
      <c r="D990" t="inlineStr">
        <is>
          <t>DALARNAS LÄN</t>
        </is>
      </c>
      <c r="E990" t="inlineStr">
        <is>
          <t>SÄTER</t>
        </is>
      </c>
      <c r="G990" t="n">
        <v>7.7</v>
      </c>
      <c r="H990" t="n">
        <v>0</v>
      </c>
      <c r="I990" t="n">
        <v>0</v>
      </c>
      <c r="J990" t="n">
        <v>1</v>
      </c>
      <c r="K990" t="n">
        <v>0</v>
      </c>
      <c r="L990" t="n">
        <v>0</v>
      </c>
      <c r="M990" t="n">
        <v>0</v>
      </c>
      <c r="N990" t="n">
        <v>0</v>
      </c>
      <c r="O990" t="n">
        <v>1</v>
      </c>
      <c r="P990" t="n">
        <v>0</v>
      </c>
      <c r="Q990" t="n">
        <v>1</v>
      </c>
      <c r="R990" s="2" t="inlineStr">
        <is>
          <t>Sexfläckig bastardsvärmare</t>
        </is>
      </c>
      <c r="S990">
        <f>HYPERLINK("https://klasma.github.io/Logging_2082/artfynd/A 27834-2024 artfynd.xlsx", "A 27834-2024")</f>
        <v/>
      </c>
      <c r="T990">
        <f>HYPERLINK("https://klasma.github.io/Logging_2082/kartor/A 27834-2024 karta.png", "A 27834-2024")</f>
        <v/>
      </c>
      <c r="V990">
        <f>HYPERLINK("https://klasma.github.io/Logging_2082/klagomål/A 27834-2024 FSC-klagomål.docx", "A 27834-2024")</f>
        <v/>
      </c>
      <c r="W990">
        <f>HYPERLINK("https://klasma.github.io/Logging_2082/klagomålsmail/A 27834-2024 FSC-klagomål mail.docx", "A 27834-2024")</f>
        <v/>
      </c>
      <c r="X990">
        <f>HYPERLINK("https://klasma.github.io/Logging_2082/tillsyn/A 27834-2024 tillsynsbegäran.docx", "A 27834-2024")</f>
        <v/>
      </c>
      <c r="Y990">
        <f>HYPERLINK("https://klasma.github.io/Logging_2082/tillsynsmail/A 27834-2024 tillsynsbegäran mail.docx", "A 27834-2024")</f>
        <v/>
      </c>
    </row>
    <row r="991" ht="15" customHeight="1">
      <c r="A991" t="inlineStr">
        <is>
          <t>A 27984-2024</t>
        </is>
      </c>
      <c r="B991" s="1" t="n">
        <v>45476</v>
      </c>
      <c r="C991" s="1" t="n">
        <v>45706</v>
      </c>
      <c r="D991" t="inlineStr">
        <is>
          <t>DALARNAS LÄN</t>
        </is>
      </c>
      <c r="E991" t="inlineStr">
        <is>
          <t>GAGNEF</t>
        </is>
      </c>
      <c r="G991" t="n">
        <v>15.5</v>
      </c>
      <c r="H991" t="n">
        <v>1</v>
      </c>
      <c r="I991" t="n">
        <v>0</v>
      </c>
      <c r="J991" t="n">
        <v>0</v>
      </c>
      <c r="K991" t="n">
        <v>0</v>
      </c>
      <c r="L991" t="n">
        <v>0</v>
      </c>
      <c r="M991" t="n">
        <v>0</v>
      </c>
      <c r="N991" t="n">
        <v>0</v>
      </c>
      <c r="O991" t="n">
        <v>0</v>
      </c>
      <c r="P991" t="n">
        <v>0</v>
      </c>
      <c r="Q991" t="n">
        <v>1</v>
      </c>
      <c r="R991" s="2" t="inlineStr">
        <is>
          <t>Tjäder</t>
        </is>
      </c>
      <c r="S991">
        <f>HYPERLINK("https://klasma.github.io/Logging_2026/artfynd/A 27984-2024 artfynd.xlsx", "A 27984-2024")</f>
        <v/>
      </c>
      <c r="T991">
        <f>HYPERLINK("https://klasma.github.io/Logging_2026/kartor/A 27984-2024 karta.png", "A 27984-2024")</f>
        <v/>
      </c>
      <c r="V991">
        <f>HYPERLINK("https://klasma.github.io/Logging_2026/klagomål/A 27984-2024 FSC-klagomål.docx", "A 27984-2024")</f>
        <v/>
      </c>
      <c r="W991">
        <f>HYPERLINK("https://klasma.github.io/Logging_2026/klagomålsmail/A 27984-2024 FSC-klagomål mail.docx", "A 27984-2024")</f>
        <v/>
      </c>
      <c r="X991">
        <f>HYPERLINK("https://klasma.github.io/Logging_2026/tillsyn/A 27984-2024 tillsynsbegäran.docx", "A 27984-2024")</f>
        <v/>
      </c>
      <c r="Y991">
        <f>HYPERLINK("https://klasma.github.io/Logging_2026/tillsynsmail/A 27984-2024 tillsynsbegäran mail.docx", "A 27984-2024")</f>
        <v/>
      </c>
      <c r="Z991">
        <f>HYPERLINK("https://klasma.github.io/Logging_2026/fåglar/A 27984-2024 prioriterade fågelarter.docx", "A 27984-2024")</f>
        <v/>
      </c>
    </row>
    <row r="992" ht="15" customHeight="1">
      <c r="A992" t="inlineStr">
        <is>
          <t>A 28550-2024</t>
        </is>
      </c>
      <c r="B992" s="1" t="n">
        <v>45478</v>
      </c>
      <c r="C992" s="1" t="n">
        <v>45706</v>
      </c>
      <c r="D992" t="inlineStr">
        <is>
          <t>DALARNAS LÄN</t>
        </is>
      </c>
      <c r="E992" t="inlineStr">
        <is>
          <t>GAGNEF</t>
        </is>
      </c>
      <c r="F992" t="inlineStr">
        <is>
          <t>Bergvik skog väst AB</t>
        </is>
      </c>
      <c r="G992" t="n">
        <v>2.6</v>
      </c>
      <c r="H992" t="n">
        <v>0</v>
      </c>
      <c r="I992" t="n">
        <v>0</v>
      </c>
      <c r="J992" t="n">
        <v>0</v>
      </c>
      <c r="K992" t="n">
        <v>0</v>
      </c>
      <c r="L992" t="n">
        <v>0</v>
      </c>
      <c r="M992" t="n">
        <v>1</v>
      </c>
      <c r="N992" t="n">
        <v>0</v>
      </c>
      <c r="O992" t="n">
        <v>1</v>
      </c>
      <c r="P992" t="n">
        <v>1</v>
      </c>
      <c r="Q992" t="n">
        <v>1</v>
      </c>
      <c r="R992" s="2" t="inlineStr">
        <is>
          <t>Citronporing</t>
        </is>
      </c>
      <c r="S992">
        <f>HYPERLINK("https://klasma.github.io/Logging_2026/artfynd/A 28550-2024 artfynd.xlsx", "A 28550-2024")</f>
        <v/>
      </c>
      <c r="T992">
        <f>HYPERLINK("https://klasma.github.io/Logging_2026/kartor/A 28550-2024 karta.png", "A 28550-2024")</f>
        <v/>
      </c>
      <c r="V992">
        <f>HYPERLINK("https://klasma.github.io/Logging_2026/klagomål/A 28550-2024 FSC-klagomål.docx", "A 28550-2024")</f>
        <v/>
      </c>
      <c r="W992">
        <f>HYPERLINK("https://klasma.github.io/Logging_2026/klagomålsmail/A 28550-2024 FSC-klagomål mail.docx", "A 28550-2024")</f>
        <v/>
      </c>
      <c r="X992">
        <f>HYPERLINK("https://klasma.github.io/Logging_2026/tillsyn/A 28550-2024 tillsynsbegäran.docx", "A 28550-2024")</f>
        <v/>
      </c>
      <c r="Y992">
        <f>HYPERLINK("https://klasma.github.io/Logging_2026/tillsynsmail/A 28550-2024 tillsynsbegäran mail.docx", "A 28550-2024")</f>
        <v/>
      </c>
    </row>
    <row r="993" ht="15" customHeight="1">
      <c r="A993" t="inlineStr">
        <is>
          <t>A 28739-2024</t>
        </is>
      </c>
      <c r="B993" s="1" t="n">
        <v>45478</v>
      </c>
      <c r="C993" s="1" t="n">
        <v>45706</v>
      </c>
      <c r="D993" t="inlineStr">
        <is>
          <t>DALARNAS LÄN</t>
        </is>
      </c>
      <c r="E993" t="inlineStr">
        <is>
          <t>VANSBRO</t>
        </is>
      </c>
      <c r="F993" t="inlineStr">
        <is>
          <t>Bergvik skog öst AB</t>
        </is>
      </c>
      <c r="G993" t="n">
        <v>2.7</v>
      </c>
      <c r="H993" t="n">
        <v>0</v>
      </c>
      <c r="I993" t="n">
        <v>0</v>
      </c>
      <c r="J993" t="n">
        <v>1</v>
      </c>
      <c r="K993" t="n">
        <v>0</v>
      </c>
      <c r="L993" t="n">
        <v>0</v>
      </c>
      <c r="M993" t="n">
        <v>0</v>
      </c>
      <c r="N993" t="n">
        <v>0</v>
      </c>
      <c r="O993" t="n">
        <v>1</v>
      </c>
      <c r="P993" t="n">
        <v>0</v>
      </c>
      <c r="Q993" t="n">
        <v>1</v>
      </c>
      <c r="R993" s="2" t="inlineStr">
        <is>
          <t>Violettgrå tagellav</t>
        </is>
      </c>
      <c r="S993">
        <f>HYPERLINK("https://klasma.github.io/Logging_2021/artfynd/A 28739-2024 artfynd.xlsx", "A 28739-2024")</f>
        <v/>
      </c>
      <c r="T993">
        <f>HYPERLINK("https://klasma.github.io/Logging_2021/kartor/A 28739-2024 karta.png", "A 28739-2024")</f>
        <v/>
      </c>
      <c r="V993">
        <f>HYPERLINK("https://klasma.github.io/Logging_2021/klagomål/A 28739-2024 FSC-klagomål.docx", "A 28739-2024")</f>
        <v/>
      </c>
      <c r="W993">
        <f>HYPERLINK("https://klasma.github.io/Logging_2021/klagomålsmail/A 28739-2024 FSC-klagomål mail.docx", "A 28739-2024")</f>
        <v/>
      </c>
      <c r="X993">
        <f>HYPERLINK("https://klasma.github.io/Logging_2021/tillsyn/A 28739-2024 tillsynsbegäran.docx", "A 28739-2024")</f>
        <v/>
      </c>
      <c r="Y993">
        <f>HYPERLINK("https://klasma.github.io/Logging_2021/tillsynsmail/A 28739-2024 tillsynsbegäran mail.docx", "A 28739-2024")</f>
        <v/>
      </c>
    </row>
    <row r="994" ht="15" customHeight="1">
      <c r="A994" t="inlineStr">
        <is>
          <t>A 29045-2024</t>
        </is>
      </c>
      <c r="B994" s="1" t="n">
        <v>45481</v>
      </c>
      <c r="C994" s="1" t="n">
        <v>45706</v>
      </c>
      <c r="D994" t="inlineStr">
        <is>
          <t>DALARNAS LÄN</t>
        </is>
      </c>
      <c r="E994" t="inlineStr">
        <is>
          <t>MALUNG-SÄLEN</t>
        </is>
      </c>
      <c r="G994" t="n">
        <v>5.7</v>
      </c>
      <c r="H994" t="n">
        <v>1</v>
      </c>
      <c r="I994" t="n">
        <v>0</v>
      </c>
      <c r="J994" t="n">
        <v>0</v>
      </c>
      <c r="K994" t="n">
        <v>1</v>
      </c>
      <c r="L994" t="n">
        <v>0</v>
      </c>
      <c r="M994" t="n">
        <v>0</v>
      </c>
      <c r="N994" t="n">
        <v>0</v>
      </c>
      <c r="O994" t="n">
        <v>1</v>
      </c>
      <c r="P994" t="n">
        <v>1</v>
      </c>
      <c r="Q994" t="n">
        <v>1</v>
      </c>
      <c r="R994" s="2" t="inlineStr">
        <is>
          <t>Knärot</t>
        </is>
      </c>
      <c r="S994">
        <f>HYPERLINK("https://klasma.github.io/Logging_2023/artfynd/A 29045-2024 artfynd.xlsx", "A 29045-2024")</f>
        <v/>
      </c>
      <c r="T994">
        <f>HYPERLINK("https://klasma.github.io/Logging_2023/kartor/A 29045-2024 karta.png", "A 29045-2024")</f>
        <v/>
      </c>
      <c r="U994">
        <f>HYPERLINK("https://klasma.github.io/Logging_2023/knärot/A 29045-2024 karta knärot.png", "A 29045-2024")</f>
        <v/>
      </c>
      <c r="V994">
        <f>HYPERLINK("https://klasma.github.io/Logging_2023/klagomål/A 29045-2024 FSC-klagomål.docx", "A 29045-2024")</f>
        <v/>
      </c>
      <c r="W994">
        <f>HYPERLINK("https://klasma.github.io/Logging_2023/klagomålsmail/A 29045-2024 FSC-klagomål mail.docx", "A 29045-2024")</f>
        <v/>
      </c>
      <c r="X994">
        <f>HYPERLINK("https://klasma.github.io/Logging_2023/tillsyn/A 29045-2024 tillsynsbegäran.docx", "A 29045-2024")</f>
        <v/>
      </c>
      <c r="Y994">
        <f>HYPERLINK("https://klasma.github.io/Logging_2023/tillsynsmail/A 29045-2024 tillsynsbegäran mail.docx", "A 29045-2024")</f>
        <v/>
      </c>
    </row>
    <row r="995" ht="15" customHeight="1">
      <c r="A995" t="inlineStr">
        <is>
          <t>A 29161-2024</t>
        </is>
      </c>
      <c r="B995" s="1" t="n">
        <v>45482</v>
      </c>
      <c r="C995" s="1" t="n">
        <v>45706</v>
      </c>
      <c r="D995" t="inlineStr">
        <is>
          <t>DALARNAS LÄN</t>
        </is>
      </c>
      <c r="E995" t="inlineStr">
        <is>
          <t>LUDVIKA</t>
        </is>
      </c>
      <c r="G995" t="n">
        <v>3.4</v>
      </c>
      <c r="H995" t="n">
        <v>0</v>
      </c>
      <c r="I995" t="n">
        <v>0</v>
      </c>
      <c r="J995" t="n">
        <v>1</v>
      </c>
      <c r="K995" t="n">
        <v>0</v>
      </c>
      <c r="L995" t="n">
        <v>0</v>
      </c>
      <c r="M995" t="n">
        <v>0</v>
      </c>
      <c r="N995" t="n">
        <v>0</v>
      </c>
      <c r="O995" t="n">
        <v>1</v>
      </c>
      <c r="P995" t="n">
        <v>0</v>
      </c>
      <c r="Q995" t="n">
        <v>1</v>
      </c>
      <c r="R995" s="2" t="inlineStr">
        <is>
          <t>Ullticka</t>
        </is>
      </c>
      <c r="S995">
        <f>HYPERLINK("https://klasma.github.io/Logging_2085/artfynd/A 29161-2024 artfynd.xlsx", "A 29161-2024")</f>
        <v/>
      </c>
      <c r="T995">
        <f>HYPERLINK("https://klasma.github.io/Logging_2085/kartor/A 29161-2024 karta.png", "A 29161-2024")</f>
        <v/>
      </c>
      <c r="V995">
        <f>HYPERLINK("https://klasma.github.io/Logging_2085/klagomål/A 29161-2024 FSC-klagomål.docx", "A 29161-2024")</f>
        <v/>
      </c>
      <c r="W995">
        <f>HYPERLINK("https://klasma.github.io/Logging_2085/klagomålsmail/A 29161-2024 FSC-klagomål mail.docx", "A 29161-2024")</f>
        <v/>
      </c>
      <c r="X995">
        <f>HYPERLINK("https://klasma.github.io/Logging_2085/tillsyn/A 29161-2024 tillsynsbegäran.docx", "A 29161-2024")</f>
        <v/>
      </c>
      <c r="Y995">
        <f>HYPERLINK("https://klasma.github.io/Logging_2085/tillsynsmail/A 29161-2024 tillsynsbegäran mail.docx", "A 29161-2024")</f>
        <v/>
      </c>
    </row>
    <row r="996" ht="15" customHeight="1">
      <c r="A996" t="inlineStr">
        <is>
          <t>A 30493-2024</t>
        </is>
      </c>
      <c r="B996" s="1" t="n">
        <v>45492</v>
      </c>
      <c r="C996" s="1" t="n">
        <v>45706</v>
      </c>
      <c r="D996" t="inlineStr">
        <is>
          <t>DALARNAS LÄN</t>
        </is>
      </c>
      <c r="E996" t="inlineStr">
        <is>
          <t>ORSA</t>
        </is>
      </c>
      <c r="F996" t="inlineStr">
        <is>
          <t>Övriga statliga verk och myndigheter</t>
        </is>
      </c>
      <c r="G996" t="n">
        <v>2.2</v>
      </c>
      <c r="H996" t="n">
        <v>0</v>
      </c>
      <c r="I996" t="n">
        <v>0</v>
      </c>
      <c r="J996" t="n">
        <v>1</v>
      </c>
      <c r="K996" t="n">
        <v>0</v>
      </c>
      <c r="L996" t="n">
        <v>0</v>
      </c>
      <c r="M996" t="n">
        <v>0</v>
      </c>
      <c r="N996" t="n">
        <v>0</v>
      </c>
      <c r="O996" t="n">
        <v>1</v>
      </c>
      <c r="P996" t="n">
        <v>0</v>
      </c>
      <c r="Q996" t="n">
        <v>1</v>
      </c>
      <c r="R996" s="2" t="inlineStr">
        <is>
          <t>Garnlav</t>
        </is>
      </c>
      <c r="S996">
        <f>HYPERLINK("https://klasma.github.io/Logging_2034/artfynd/A 30493-2024 artfynd.xlsx", "A 30493-2024")</f>
        <v/>
      </c>
      <c r="T996">
        <f>HYPERLINK("https://klasma.github.io/Logging_2034/kartor/A 30493-2024 karta.png", "A 30493-2024")</f>
        <v/>
      </c>
      <c r="V996">
        <f>HYPERLINK("https://klasma.github.io/Logging_2034/klagomål/A 30493-2024 FSC-klagomål.docx", "A 30493-2024")</f>
        <v/>
      </c>
      <c r="W996">
        <f>HYPERLINK("https://klasma.github.io/Logging_2034/klagomålsmail/A 30493-2024 FSC-klagomål mail.docx", "A 30493-2024")</f>
        <v/>
      </c>
      <c r="X996">
        <f>HYPERLINK("https://klasma.github.io/Logging_2034/tillsyn/A 30493-2024 tillsynsbegäran.docx", "A 30493-2024")</f>
        <v/>
      </c>
      <c r="Y996">
        <f>HYPERLINK("https://klasma.github.io/Logging_2034/tillsynsmail/A 30493-2024 tillsynsbegäran mail.docx", "A 30493-2024")</f>
        <v/>
      </c>
    </row>
    <row r="997" ht="15" customHeight="1">
      <c r="A997" t="inlineStr">
        <is>
          <t>A 30691-2024</t>
        </is>
      </c>
      <c r="B997" s="1" t="n">
        <v>45496</v>
      </c>
      <c r="C997" s="1" t="n">
        <v>45706</v>
      </c>
      <c r="D997" t="inlineStr">
        <is>
          <t>DALARNAS LÄN</t>
        </is>
      </c>
      <c r="E997" t="inlineStr">
        <is>
          <t>ÄLVDALEN</t>
        </is>
      </c>
      <c r="G997" t="n">
        <v>2.9</v>
      </c>
      <c r="H997" t="n">
        <v>0</v>
      </c>
      <c r="I997" t="n">
        <v>1</v>
      </c>
      <c r="J997" t="n">
        <v>0</v>
      </c>
      <c r="K997" t="n">
        <v>0</v>
      </c>
      <c r="L997" t="n">
        <v>0</v>
      </c>
      <c r="M997" t="n">
        <v>0</v>
      </c>
      <c r="N997" t="n">
        <v>0</v>
      </c>
      <c r="O997" t="n">
        <v>0</v>
      </c>
      <c r="P997" t="n">
        <v>0</v>
      </c>
      <c r="Q997" t="n">
        <v>1</v>
      </c>
      <c r="R997" s="2" t="inlineStr">
        <is>
          <t>Dropptaggsvamp</t>
        </is>
      </c>
      <c r="S997">
        <f>HYPERLINK("https://klasma.github.io/Logging_2039/artfynd/A 30691-2024 artfynd.xlsx", "A 30691-2024")</f>
        <v/>
      </c>
      <c r="T997">
        <f>HYPERLINK("https://klasma.github.io/Logging_2039/kartor/A 30691-2024 karta.png", "A 30691-2024")</f>
        <v/>
      </c>
      <c r="V997">
        <f>HYPERLINK("https://klasma.github.io/Logging_2039/klagomål/A 30691-2024 FSC-klagomål.docx", "A 30691-2024")</f>
        <v/>
      </c>
      <c r="W997">
        <f>HYPERLINK("https://klasma.github.io/Logging_2039/klagomålsmail/A 30691-2024 FSC-klagomål mail.docx", "A 30691-2024")</f>
        <v/>
      </c>
      <c r="X997">
        <f>HYPERLINK("https://klasma.github.io/Logging_2039/tillsyn/A 30691-2024 tillsynsbegäran.docx", "A 30691-2024")</f>
        <v/>
      </c>
      <c r="Y997">
        <f>HYPERLINK("https://klasma.github.io/Logging_2039/tillsynsmail/A 30691-2024 tillsynsbegäran mail.docx", "A 30691-2024")</f>
        <v/>
      </c>
    </row>
    <row r="998" ht="15" customHeight="1">
      <c r="A998" t="inlineStr">
        <is>
          <t>A 30870-2024</t>
        </is>
      </c>
      <c r="B998" s="1" t="n">
        <v>45497</v>
      </c>
      <c r="C998" s="1" t="n">
        <v>45706</v>
      </c>
      <c r="D998" t="inlineStr">
        <is>
          <t>DALARNAS LÄN</t>
        </is>
      </c>
      <c r="E998" t="inlineStr">
        <is>
          <t>BORLÄNGE</t>
        </is>
      </c>
      <c r="G998" t="n">
        <v>1.8</v>
      </c>
      <c r="H998" t="n">
        <v>1</v>
      </c>
      <c r="I998" t="n">
        <v>0</v>
      </c>
      <c r="J998" t="n">
        <v>0</v>
      </c>
      <c r="K998" t="n">
        <v>1</v>
      </c>
      <c r="L998" t="n">
        <v>0</v>
      </c>
      <c r="M998" t="n">
        <v>0</v>
      </c>
      <c r="N998" t="n">
        <v>0</v>
      </c>
      <c r="O998" t="n">
        <v>1</v>
      </c>
      <c r="P998" t="n">
        <v>1</v>
      </c>
      <c r="Q998" t="n">
        <v>1</v>
      </c>
      <c r="R998" s="2" t="inlineStr">
        <is>
          <t>Knärot</t>
        </is>
      </c>
      <c r="S998">
        <f>HYPERLINK("https://klasma.github.io/Logging_2081/artfynd/A 30870-2024 artfynd.xlsx", "A 30870-2024")</f>
        <v/>
      </c>
      <c r="T998">
        <f>HYPERLINK("https://klasma.github.io/Logging_2081/kartor/A 30870-2024 karta.png", "A 30870-2024")</f>
        <v/>
      </c>
      <c r="U998">
        <f>HYPERLINK("https://klasma.github.io/Logging_2081/knärot/A 30870-2024 karta knärot.png", "A 30870-2024")</f>
        <v/>
      </c>
      <c r="V998">
        <f>HYPERLINK("https://klasma.github.io/Logging_2081/klagomål/A 30870-2024 FSC-klagomål.docx", "A 30870-2024")</f>
        <v/>
      </c>
      <c r="W998">
        <f>HYPERLINK("https://klasma.github.io/Logging_2081/klagomålsmail/A 30870-2024 FSC-klagomål mail.docx", "A 30870-2024")</f>
        <v/>
      </c>
      <c r="X998">
        <f>HYPERLINK("https://klasma.github.io/Logging_2081/tillsyn/A 30870-2024 tillsynsbegäran.docx", "A 30870-2024")</f>
        <v/>
      </c>
      <c r="Y998">
        <f>HYPERLINK("https://klasma.github.io/Logging_2081/tillsynsmail/A 30870-2024 tillsynsbegäran mail.docx", "A 30870-2024")</f>
        <v/>
      </c>
    </row>
    <row r="999" ht="15" customHeight="1">
      <c r="A999" t="inlineStr">
        <is>
          <t>A 31124-2024</t>
        </is>
      </c>
      <c r="B999" s="1" t="n">
        <v>45502</v>
      </c>
      <c r="C999" s="1" t="n">
        <v>45706</v>
      </c>
      <c r="D999" t="inlineStr">
        <is>
          <t>DALARNAS LÄN</t>
        </is>
      </c>
      <c r="E999" t="inlineStr">
        <is>
          <t>LEKSAND</t>
        </is>
      </c>
      <c r="G999" t="n">
        <v>1.9</v>
      </c>
      <c r="H999" t="n">
        <v>1</v>
      </c>
      <c r="I999" t="n">
        <v>0</v>
      </c>
      <c r="J999" t="n">
        <v>0</v>
      </c>
      <c r="K999" t="n">
        <v>1</v>
      </c>
      <c r="L999" t="n">
        <v>0</v>
      </c>
      <c r="M999" t="n">
        <v>0</v>
      </c>
      <c r="N999" t="n">
        <v>0</v>
      </c>
      <c r="O999" t="n">
        <v>1</v>
      </c>
      <c r="P999" t="n">
        <v>1</v>
      </c>
      <c r="Q999" t="n">
        <v>1</v>
      </c>
      <c r="R999" s="2" t="inlineStr">
        <is>
          <t>Väddnätfjäril</t>
        </is>
      </c>
      <c r="S999">
        <f>HYPERLINK("https://klasma.github.io/Logging_2029/artfynd/A 31124-2024 artfynd.xlsx", "A 31124-2024")</f>
        <v/>
      </c>
      <c r="T999">
        <f>HYPERLINK("https://klasma.github.io/Logging_2029/kartor/A 31124-2024 karta.png", "A 31124-2024")</f>
        <v/>
      </c>
      <c r="V999">
        <f>HYPERLINK("https://klasma.github.io/Logging_2029/klagomål/A 31124-2024 FSC-klagomål.docx", "A 31124-2024")</f>
        <v/>
      </c>
      <c r="W999">
        <f>HYPERLINK("https://klasma.github.io/Logging_2029/klagomålsmail/A 31124-2024 FSC-klagomål mail.docx", "A 31124-2024")</f>
        <v/>
      </c>
      <c r="X999">
        <f>HYPERLINK("https://klasma.github.io/Logging_2029/tillsyn/A 31124-2024 tillsynsbegäran.docx", "A 31124-2024")</f>
        <v/>
      </c>
      <c r="Y999">
        <f>HYPERLINK("https://klasma.github.io/Logging_2029/tillsynsmail/A 31124-2024 tillsynsbegäran mail.docx", "A 31124-2024")</f>
        <v/>
      </c>
    </row>
    <row r="1000" ht="15" customHeight="1">
      <c r="A1000" t="inlineStr">
        <is>
          <t>A 31862-2024</t>
        </is>
      </c>
      <c r="B1000" s="1" t="n">
        <v>45509</v>
      </c>
      <c r="C1000" s="1" t="n">
        <v>45706</v>
      </c>
      <c r="D1000" t="inlineStr">
        <is>
          <t>DALARNAS LÄN</t>
        </is>
      </c>
      <c r="E1000" t="inlineStr">
        <is>
          <t>LUDVIKA</t>
        </is>
      </c>
      <c r="F1000" t="inlineStr">
        <is>
          <t>Bergvik skog väst AB</t>
        </is>
      </c>
      <c r="G1000" t="n">
        <v>7.4</v>
      </c>
      <c r="H1000" t="n">
        <v>0</v>
      </c>
      <c r="I1000" t="n">
        <v>0</v>
      </c>
      <c r="J1000" t="n">
        <v>1</v>
      </c>
      <c r="K1000" t="n">
        <v>0</v>
      </c>
      <c r="L1000" t="n">
        <v>0</v>
      </c>
      <c r="M1000" t="n">
        <v>0</v>
      </c>
      <c r="N1000" t="n">
        <v>0</v>
      </c>
      <c r="O1000" t="n">
        <v>1</v>
      </c>
      <c r="P1000" t="n">
        <v>0</v>
      </c>
      <c r="Q1000" t="n">
        <v>1</v>
      </c>
      <c r="R1000" s="2" t="inlineStr">
        <is>
          <t>Gultoppig fingersvamp</t>
        </is>
      </c>
      <c r="S1000">
        <f>HYPERLINK("https://klasma.github.io/Logging_2085/artfynd/A 31862-2024 artfynd.xlsx", "A 31862-2024")</f>
        <v/>
      </c>
      <c r="T1000">
        <f>HYPERLINK("https://klasma.github.io/Logging_2085/kartor/A 31862-2024 karta.png", "A 31862-2024")</f>
        <v/>
      </c>
      <c r="V1000">
        <f>HYPERLINK("https://klasma.github.io/Logging_2085/klagomål/A 31862-2024 FSC-klagomål.docx", "A 31862-2024")</f>
        <v/>
      </c>
      <c r="W1000">
        <f>HYPERLINK("https://klasma.github.io/Logging_2085/klagomålsmail/A 31862-2024 FSC-klagomål mail.docx", "A 31862-2024")</f>
        <v/>
      </c>
      <c r="X1000">
        <f>HYPERLINK("https://klasma.github.io/Logging_2085/tillsyn/A 31862-2024 tillsynsbegäran.docx", "A 31862-2024")</f>
        <v/>
      </c>
      <c r="Y1000">
        <f>HYPERLINK("https://klasma.github.io/Logging_2085/tillsynsmail/A 31862-2024 tillsynsbegäran mail.docx", "A 31862-2024")</f>
        <v/>
      </c>
    </row>
    <row r="1001" ht="15" customHeight="1">
      <c r="A1001" t="inlineStr">
        <is>
          <t>A 31771-2024</t>
        </is>
      </c>
      <c r="B1001" s="1" t="n">
        <v>45509</v>
      </c>
      <c r="C1001" s="1" t="n">
        <v>45706</v>
      </c>
      <c r="D1001" t="inlineStr">
        <is>
          <t>DALARNAS LÄN</t>
        </is>
      </c>
      <c r="E1001" t="inlineStr">
        <is>
          <t>ÄLVDALEN</t>
        </is>
      </c>
      <c r="F1001" t="inlineStr">
        <is>
          <t>Allmännings- och besparingsskogar</t>
        </is>
      </c>
      <c r="G1001" t="n">
        <v>17.8</v>
      </c>
      <c r="H1001" t="n">
        <v>1</v>
      </c>
      <c r="I1001" t="n">
        <v>0</v>
      </c>
      <c r="J1001" t="n">
        <v>0</v>
      </c>
      <c r="K1001" t="n">
        <v>0</v>
      </c>
      <c r="L1001" t="n">
        <v>1</v>
      </c>
      <c r="M1001" t="n">
        <v>0</v>
      </c>
      <c r="N1001" t="n">
        <v>0</v>
      </c>
      <c r="O1001" t="n">
        <v>1</v>
      </c>
      <c r="P1001" t="n">
        <v>1</v>
      </c>
      <c r="Q1001" t="n">
        <v>1</v>
      </c>
      <c r="R1001" s="2" t="inlineStr">
        <is>
          <t>Mosippa</t>
        </is>
      </c>
      <c r="S1001">
        <f>HYPERLINK("https://klasma.github.io/Logging_2039/artfynd/A 31771-2024 artfynd.xlsx", "A 31771-2024")</f>
        <v/>
      </c>
      <c r="T1001">
        <f>HYPERLINK("https://klasma.github.io/Logging_2039/kartor/A 31771-2024 karta.png", "A 31771-2024")</f>
        <v/>
      </c>
      <c r="V1001">
        <f>HYPERLINK("https://klasma.github.io/Logging_2039/klagomål/A 31771-2024 FSC-klagomål.docx", "A 31771-2024")</f>
        <v/>
      </c>
      <c r="W1001">
        <f>HYPERLINK("https://klasma.github.io/Logging_2039/klagomålsmail/A 31771-2024 FSC-klagomål mail.docx", "A 31771-2024")</f>
        <v/>
      </c>
      <c r="X1001">
        <f>HYPERLINK("https://klasma.github.io/Logging_2039/tillsyn/A 31771-2024 tillsynsbegäran.docx", "A 31771-2024")</f>
        <v/>
      </c>
      <c r="Y1001">
        <f>HYPERLINK("https://klasma.github.io/Logging_2039/tillsynsmail/A 31771-2024 tillsynsbegäran mail.docx", "A 31771-2024")</f>
        <v/>
      </c>
    </row>
    <row r="1002" ht="15" customHeight="1">
      <c r="A1002" t="inlineStr">
        <is>
          <t>A 31794-2024</t>
        </is>
      </c>
      <c r="B1002" s="1" t="n">
        <v>45509</v>
      </c>
      <c r="C1002" s="1" t="n">
        <v>45706</v>
      </c>
      <c r="D1002" t="inlineStr">
        <is>
          <t>DALARNAS LÄN</t>
        </is>
      </c>
      <c r="E1002" t="inlineStr">
        <is>
          <t>LEKSAND</t>
        </is>
      </c>
      <c r="F1002" t="inlineStr">
        <is>
          <t>Bergvik skog väst AB</t>
        </is>
      </c>
      <c r="G1002" t="n">
        <v>6.7</v>
      </c>
      <c r="H1002" t="n">
        <v>1</v>
      </c>
      <c r="I1002" t="n">
        <v>0</v>
      </c>
      <c r="J1002" t="n">
        <v>0</v>
      </c>
      <c r="K1002" t="n">
        <v>0</v>
      </c>
      <c r="L1002" t="n">
        <v>0</v>
      </c>
      <c r="M1002" t="n">
        <v>0</v>
      </c>
      <c r="N1002" t="n">
        <v>0</v>
      </c>
      <c r="O1002" t="n">
        <v>0</v>
      </c>
      <c r="P1002" t="n">
        <v>0</v>
      </c>
      <c r="Q1002" t="n">
        <v>1</v>
      </c>
      <c r="R1002" s="2" t="inlineStr">
        <is>
          <t>Revlummer</t>
        </is>
      </c>
      <c r="S1002">
        <f>HYPERLINK("https://klasma.github.io/Logging_2029/artfynd/A 31794-2024 artfynd.xlsx", "A 31794-2024")</f>
        <v/>
      </c>
      <c r="T1002">
        <f>HYPERLINK("https://klasma.github.io/Logging_2029/kartor/A 31794-2024 karta.png", "A 31794-2024")</f>
        <v/>
      </c>
      <c r="V1002">
        <f>HYPERLINK("https://klasma.github.io/Logging_2029/klagomål/A 31794-2024 FSC-klagomål.docx", "A 31794-2024")</f>
        <v/>
      </c>
      <c r="W1002">
        <f>HYPERLINK("https://klasma.github.io/Logging_2029/klagomålsmail/A 31794-2024 FSC-klagomål mail.docx", "A 31794-2024")</f>
        <v/>
      </c>
      <c r="X1002">
        <f>HYPERLINK("https://klasma.github.io/Logging_2029/tillsyn/A 31794-2024 tillsynsbegäran.docx", "A 31794-2024")</f>
        <v/>
      </c>
      <c r="Y1002">
        <f>HYPERLINK("https://klasma.github.io/Logging_2029/tillsynsmail/A 31794-2024 tillsynsbegäran mail.docx", "A 31794-2024")</f>
        <v/>
      </c>
    </row>
    <row r="1003" ht="15" customHeight="1">
      <c r="A1003" t="inlineStr">
        <is>
          <t>A 32199-2024</t>
        </is>
      </c>
      <c r="B1003" s="1" t="n">
        <v>45511</v>
      </c>
      <c r="C1003" s="1" t="n">
        <v>45706</v>
      </c>
      <c r="D1003" t="inlineStr">
        <is>
          <t>DALARNAS LÄN</t>
        </is>
      </c>
      <c r="E1003" t="inlineStr">
        <is>
          <t>ÄLVDALEN</t>
        </is>
      </c>
      <c r="F1003" t="inlineStr">
        <is>
          <t>Sveaskog</t>
        </is>
      </c>
      <c r="G1003" t="n">
        <v>4.6</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32199-2024 artfynd.xlsx", "A 32199-2024")</f>
        <v/>
      </c>
      <c r="T1003">
        <f>HYPERLINK("https://klasma.github.io/Logging_2039/kartor/A 32199-2024 karta.png", "A 32199-2024")</f>
        <v/>
      </c>
      <c r="V1003">
        <f>HYPERLINK("https://klasma.github.io/Logging_2039/klagomål/A 32199-2024 FSC-klagomål.docx", "A 32199-2024")</f>
        <v/>
      </c>
      <c r="W1003">
        <f>HYPERLINK("https://klasma.github.io/Logging_2039/klagomålsmail/A 32199-2024 FSC-klagomål mail.docx", "A 32199-2024")</f>
        <v/>
      </c>
      <c r="X1003">
        <f>HYPERLINK("https://klasma.github.io/Logging_2039/tillsyn/A 32199-2024 tillsynsbegäran.docx", "A 32199-2024")</f>
        <v/>
      </c>
      <c r="Y1003">
        <f>HYPERLINK("https://klasma.github.io/Logging_2039/tillsynsmail/A 32199-2024 tillsynsbegäran mail.docx", "A 32199-2024")</f>
        <v/>
      </c>
    </row>
    <row r="1004" ht="15" customHeight="1">
      <c r="A1004" t="inlineStr">
        <is>
          <t>A 32609-2024</t>
        </is>
      </c>
      <c r="B1004" s="1" t="n">
        <v>45513</v>
      </c>
      <c r="C1004" s="1" t="n">
        <v>45706</v>
      </c>
      <c r="D1004" t="inlineStr">
        <is>
          <t>DALARNAS LÄN</t>
        </is>
      </c>
      <c r="E1004" t="inlineStr">
        <is>
          <t>AVESTA</t>
        </is>
      </c>
      <c r="G1004" t="n">
        <v>4.4</v>
      </c>
      <c r="H1004" t="n">
        <v>1</v>
      </c>
      <c r="I1004" t="n">
        <v>1</v>
      </c>
      <c r="J1004" t="n">
        <v>0</v>
      </c>
      <c r="K1004" t="n">
        <v>0</v>
      </c>
      <c r="L1004" t="n">
        <v>0</v>
      </c>
      <c r="M1004" t="n">
        <v>0</v>
      </c>
      <c r="N1004" t="n">
        <v>0</v>
      </c>
      <c r="O1004" t="n">
        <v>0</v>
      </c>
      <c r="P1004" t="n">
        <v>0</v>
      </c>
      <c r="Q1004" t="n">
        <v>1</v>
      </c>
      <c r="R1004" s="2" t="inlineStr">
        <is>
          <t>Spindelblomster</t>
        </is>
      </c>
      <c r="S1004">
        <f>HYPERLINK("https://klasma.github.io/Logging_2084/artfynd/A 32609-2024 artfynd.xlsx", "A 32609-2024")</f>
        <v/>
      </c>
      <c r="T1004">
        <f>HYPERLINK("https://klasma.github.io/Logging_2084/kartor/A 32609-2024 karta.png", "A 32609-2024")</f>
        <v/>
      </c>
      <c r="V1004">
        <f>HYPERLINK("https://klasma.github.io/Logging_2084/klagomål/A 32609-2024 FSC-klagomål.docx", "A 32609-2024")</f>
        <v/>
      </c>
      <c r="W1004">
        <f>HYPERLINK("https://klasma.github.io/Logging_2084/klagomålsmail/A 32609-2024 FSC-klagomål mail.docx", "A 32609-2024")</f>
        <v/>
      </c>
      <c r="X1004">
        <f>HYPERLINK("https://klasma.github.io/Logging_2084/tillsyn/A 32609-2024 tillsynsbegäran.docx", "A 32609-2024")</f>
        <v/>
      </c>
      <c r="Y1004">
        <f>HYPERLINK("https://klasma.github.io/Logging_2084/tillsynsmail/A 32609-2024 tillsynsbegäran mail.docx", "A 32609-2024")</f>
        <v/>
      </c>
    </row>
    <row r="1005" ht="15" customHeight="1">
      <c r="A1005" t="inlineStr">
        <is>
          <t>A 32987-2024</t>
        </is>
      </c>
      <c r="B1005" s="1" t="n">
        <v>45517</v>
      </c>
      <c r="C1005" s="1" t="n">
        <v>45706</v>
      </c>
      <c r="D1005" t="inlineStr">
        <is>
          <t>DALARNAS LÄN</t>
        </is>
      </c>
      <c r="E1005" t="inlineStr">
        <is>
          <t>AVESTA</t>
        </is>
      </c>
      <c r="G1005" t="n">
        <v>2.8</v>
      </c>
      <c r="H1005" t="n">
        <v>0</v>
      </c>
      <c r="I1005" t="n">
        <v>1</v>
      </c>
      <c r="J1005" t="n">
        <v>0</v>
      </c>
      <c r="K1005" t="n">
        <v>0</v>
      </c>
      <c r="L1005" t="n">
        <v>0</v>
      </c>
      <c r="M1005" t="n">
        <v>0</v>
      </c>
      <c r="N1005" t="n">
        <v>0</v>
      </c>
      <c r="O1005" t="n">
        <v>0</v>
      </c>
      <c r="P1005" t="n">
        <v>0</v>
      </c>
      <c r="Q1005" t="n">
        <v>1</v>
      </c>
      <c r="R1005" s="2" t="inlineStr">
        <is>
          <t>Guldlockmossa</t>
        </is>
      </c>
      <c r="S1005">
        <f>HYPERLINK("https://klasma.github.io/Logging_2084/artfynd/A 32987-2024 artfynd.xlsx", "A 32987-2024")</f>
        <v/>
      </c>
      <c r="T1005">
        <f>HYPERLINK("https://klasma.github.io/Logging_2084/kartor/A 32987-2024 karta.png", "A 32987-2024")</f>
        <v/>
      </c>
      <c r="V1005">
        <f>HYPERLINK("https://klasma.github.io/Logging_2084/klagomål/A 32987-2024 FSC-klagomål.docx", "A 32987-2024")</f>
        <v/>
      </c>
      <c r="W1005">
        <f>HYPERLINK("https://klasma.github.io/Logging_2084/klagomålsmail/A 32987-2024 FSC-klagomål mail.docx", "A 32987-2024")</f>
        <v/>
      </c>
      <c r="X1005">
        <f>HYPERLINK("https://klasma.github.io/Logging_2084/tillsyn/A 32987-2024 tillsynsbegäran.docx", "A 32987-2024")</f>
        <v/>
      </c>
      <c r="Y1005">
        <f>HYPERLINK("https://klasma.github.io/Logging_2084/tillsynsmail/A 32987-2024 tillsynsbegäran mail.docx", "A 32987-2024")</f>
        <v/>
      </c>
    </row>
    <row r="1006" ht="15" customHeight="1">
      <c r="A1006" t="inlineStr">
        <is>
          <t>A 32954-2024</t>
        </is>
      </c>
      <c r="B1006" s="1" t="n">
        <v>45517</v>
      </c>
      <c r="C1006" s="1" t="n">
        <v>45706</v>
      </c>
      <c r="D1006" t="inlineStr">
        <is>
          <t>DALARNAS LÄN</t>
        </is>
      </c>
      <c r="E1006" t="inlineStr">
        <is>
          <t>SMEDJEBACKEN</t>
        </is>
      </c>
      <c r="F1006" t="inlineStr">
        <is>
          <t>Övriga Aktiebolag</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HYPERLINK("https://klasma.github.io/Logging_2061/artfynd/A 32954-2024 artfynd.xlsx", "A 32954-2024")</f>
        <v/>
      </c>
      <c r="T1006">
        <f>HYPERLINK("https://klasma.github.io/Logging_2061/kartor/A 32954-2024 karta.png", "A 32954-2024")</f>
        <v/>
      </c>
      <c r="V1006">
        <f>HYPERLINK("https://klasma.github.io/Logging_2061/klagomål/A 32954-2024 FSC-klagomål.docx", "A 32954-2024")</f>
        <v/>
      </c>
      <c r="W1006">
        <f>HYPERLINK("https://klasma.github.io/Logging_2061/klagomålsmail/A 32954-2024 FSC-klagomål mail.docx", "A 32954-2024")</f>
        <v/>
      </c>
      <c r="X1006">
        <f>HYPERLINK("https://klasma.github.io/Logging_2061/tillsyn/A 32954-2024 tillsynsbegäran.docx", "A 32954-2024")</f>
        <v/>
      </c>
      <c r="Y1006">
        <f>HYPERLINK("https://klasma.github.io/Logging_2061/tillsynsmail/A 32954-2024 tillsynsbegäran mail.docx", "A 32954-2024")</f>
        <v/>
      </c>
    </row>
    <row r="1007" ht="15" customHeight="1">
      <c r="A1007" t="inlineStr">
        <is>
          <t>A 33155-2024</t>
        </is>
      </c>
      <c r="B1007" s="1" t="n">
        <v>45518</v>
      </c>
      <c r="C1007" s="1" t="n">
        <v>45706</v>
      </c>
      <c r="D1007" t="inlineStr">
        <is>
          <t>DALARNAS LÄN</t>
        </is>
      </c>
      <c r="E1007" t="inlineStr">
        <is>
          <t>LUDVIKA</t>
        </is>
      </c>
      <c r="G1007" t="n">
        <v>2.9</v>
      </c>
      <c r="H1007" t="n">
        <v>0</v>
      </c>
      <c r="I1007" t="n">
        <v>0</v>
      </c>
      <c r="J1007" t="n">
        <v>1</v>
      </c>
      <c r="K1007" t="n">
        <v>0</v>
      </c>
      <c r="L1007" t="n">
        <v>0</v>
      </c>
      <c r="M1007" t="n">
        <v>0</v>
      </c>
      <c r="N1007" t="n">
        <v>0</v>
      </c>
      <c r="O1007" t="n">
        <v>1</v>
      </c>
      <c r="P1007" t="n">
        <v>0</v>
      </c>
      <c r="Q1007" t="n">
        <v>1</v>
      </c>
      <c r="R1007" s="2" t="inlineStr">
        <is>
          <t>Brunpudrad nållav</t>
        </is>
      </c>
      <c r="S1007">
        <f>HYPERLINK("https://klasma.github.io/Logging_2085/artfynd/A 33155-2024 artfynd.xlsx", "A 33155-2024")</f>
        <v/>
      </c>
      <c r="T1007">
        <f>HYPERLINK("https://klasma.github.io/Logging_2085/kartor/A 33155-2024 karta.png", "A 33155-2024")</f>
        <v/>
      </c>
      <c r="V1007">
        <f>HYPERLINK("https://klasma.github.io/Logging_2085/klagomål/A 33155-2024 FSC-klagomål.docx", "A 33155-2024")</f>
        <v/>
      </c>
      <c r="W1007">
        <f>HYPERLINK("https://klasma.github.io/Logging_2085/klagomålsmail/A 33155-2024 FSC-klagomål mail.docx", "A 33155-2024")</f>
        <v/>
      </c>
      <c r="X1007">
        <f>HYPERLINK("https://klasma.github.io/Logging_2085/tillsyn/A 33155-2024 tillsynsbegäran.docx", "A 33155-2024")</f>
        <v/>
      </c>
      <c r="Y1007">
        <f>HYPERLINK("https://klasma.github.io/Logging_2085/tillsynsmail/A 33155-2024 tillsynsbegäran mail.docx", "A 33155-2024")</f>
        <v/>
      </c>
    </row>
    <row r="1008" ht="15" customHeight="1">
      <c r="A1008" t="inlineStr">
        <is>
          <t>A 33554-2024</t>
        </is>
      </c>
      <c r="B1008" s="1" t="n">
        <v>45519</v>
      </c>
      <c r="C1008" s="1" t="n">
        <v>45706</v>
      </c>
      <c r="D1008" t="inlineStr">
        <is>
          <t>DALARNAS LÄN</t>
        </is>
      </c>
      <c r="E1008" t="inlineStr">
        <is>
          <t>LEKSAND</t>
        </is>
      </c>
      <c r="G1008" t="n">
        <v>11.1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HYPERLINK("https://klasma.github.io/Logging_2029/artfynd/A 33554-2024 artfynd.xlsx", "A 33554-2024")</f>
        <v/>
      </c>
      <c r="T1008">
        <f>HYPERLINK("https://klasma.github.io/Logging_2029/kartor/A 33554-2024 karta.png", "A 33554-2024")</f>
        <v/>
      </c>
      <c r="V1008">
        <f>HYPERLINK("https://klasma.github.io/Logging_2029/klagomål/A 33554-2024 FSC-klagomål.docx", "A 33554-2024")</f>
        <v/>
      </c>
      <c r="W1008">
        <f>HYPERLINK("https://klasma.github.io/Logging_2029/klagomålsmail/A 33554-2024 FSC-klagomål mail.docx", "A 33554-2024")</f>
        <v/>
      </c>
      <c r="X1008">
        <f>HYPERLINK("https://klasma.github.io/Logging_2029/tillsyn/A 33554-2024 tillsynsbegäran.docx", "A 33554-2024")</f>
        <v/>
      </c>
      <c r="Y1008">
        <f>HYPERLINK("https://klasma.github.io/Logging_2029/tillsynsmail/A 33554-2024 tillsynsbegäran mail.docx", "A 33554-2024")</f>
        <v/>
      </c>
    </row>
    <row r="1009" ht="15" customHeight="1">
      <c r="A1009" t="inlineStr">
        <is>
          <t>A 33662-2024</t>
        </is>
      </c>
      <c r="B1009" s="1" t="n">
        <v>45520</v>
      </c>
      <c r="C1009" s="1" t="n">
        <v>45706</v>
      </c>
      <c r="D1009" t="inlineStr">
        <is>
          <t>DALARNAS LÄN</t>
        </is>
      </c>
      <c r="E1009" t="inlineStr">
        <is>
          <t>AVESTA</t>
        </is>
      </c>
      <c r="G1009" t="n">
        <v>6</v>
      </c>
      <c r="H1009" t="n">
        <v>1</v>
      </c>
      <c r="I1009" t="n">
        <v>0</v>
      </c>
      <c r="J1009" t="n">
        <v>0</v>
      </c>
      <c r="K1009" t="n">
        <v>0</v>
      </c>
      <c r="L1009" t="n">
        <v>0</v>
      </c>
      <c r="M1009" t="n">
        <v>0</v>
      </c>
      <c r="N1009" t="n">
        <v>0</v>
      </c>
      <c r="O1009" t="n">
        <v>0</v>
      </c>
      <c r="P1009" t="n">
        <v>0</v>
      </c>
      <c r="Q1009" t="n">
        <v>1</v>
      </c>
      <c r="R1009" s="2" t="inlineStr">
        <is>
          <t>Sparvuggla</t>
        </is>
      </c>
      <c r="S1009">
        <f>HYPERLINK("https://klasma.github.io/Logging_2084/artfynd/A 33662-2024 artfynd.xlsx", "A 33662-2024")</f>
        <v/>
      </c>
      <c r="T1009">
        <f>HYPERLINK("https://klasma.github.io/Logging_2084/kartor/A 33662-2024 karta.png", "A 33662-2024")</f>
        <v/>
      </c>
      <c r="V1009">
        <f>HYPERLINK("https://klasma.github.io/Logging_2084/klagomål/A 33662-2024 FSC-klagomål.docx", "A 33662-2024")</f>
        <v/>
      </c>
      <c r="W1009">
        <f>HYPERLINK("https://klasma.github.io/Logging_2084/klagomålsmail/A 33662-2024 FSC-klagomål mail.docx", "A 33662-2024")</f>
        <v/>
      </c>
      <c r="X1009">
        <f>HYPERLINK("https://klasma.github.io/Logging_2084/tillsyn/A 33662-2024 tillsynsbegäran.docx", "A 33662-2024")</f>
        <v/>
      </c>
      <c r="Y1009">
        <f>HYPERLINK("https://klasma.github.io/Logging_2084/tillsynsmail/A 33662-2024 tillsynsbegäran mail.docx", "A 33662-2024")</f>
        <v/>
      </c>
      <c r="Z1009">
        <f>HYPERLINK("https://klasma.github.io/Logging_2084/fåglar/A 33662-2024 prioriterade fågelarter.docx", "A 33662-2024")</f>
        <v/>
      </c>
    </row>
    <row r="1010" ht="15" customHeight="1">
      <c r="A1010" t="inlineStr">
        <is>
          <t>A 34305-2024</t>
        </is>
      </c>
      <c r="B1010" s="1" t="n">
        <v>45524</v>
      </c>
      <c r="C1010" s="1" t="n">
        <v>45706</v>
      </c>
      <c r="D1010" t="inlineStr">
        <is>
          <t>DALARNAS LÄN</t>
        </is>
      </c>
      <c r="E1010" t="inlineStr">
        <is>
          <t>RÄTTVIK</t>
        </is>
      </c>
      <c r="G1010" t="n">
        <v>18.1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HYPERLINK("https://klasma.github.io/Logging_2031/artfynd/A 34305-2024 artfynd.xlsx", "A 34305-2024")</f>
        <v/>
      </c>
      <c r="T1010">
        <f>HYPERLINK("https://klasma.github.io/Logging_2031/kartor/A 34305-2024 karta.png", "A 34305-2024")</f>
        <v/>
      </c>
      <c r="V1010">
        <f>HYPERLINK("https://klasma.github.io/Logging_2031/klagomål/A 34305-2024 FSC-klagomål.docx", "A 34305-2024")</f>
        <v/>
      </c>
      <c r="W1010">
        <f>HYPERLINK("https://klasma.github.io/Logging_2031/klagomålsmail/A 34305-2024 FSC-klagomål mail.docx", "A 34305-2024")</f>
        <v/>
      </c>
      <c r="X1010">
        <f>HYPERLINK("https://klasma.github.io/Logging_2031/tillsyn/A 34305-2024 tillsynsbegäran.docx", "A 34305-2024")</f>
        <v/>
      </c>
      <c r="Y1010">
        <f>HYPERLINK("https://klasma.github.io/Logging_2031/tillsynsmail/A 34305-2024 tillsynsbegäran mail.docx", "A 34305-2024")</f>
        <v/>
      </c>
    </row>
    <row r="1011" ht="15" customHeight="1">
      <c r="A1011" t="inlineStr">
        <is>
          <t>A 34844-2024</t>
        </is>
      </c>
      <c r="B1011" s="1" t="n">
        <v>45527</v>
      </c>
      <c r="C1011" s="1" t="n">
        <v>45706</v>
      </c>
      <c r="D1011" t="inlineStr">
        <is>
          <t>DALARNAS LÄN</t>
        </is>
      </c>
      <c r="E1011" t="inlineStr">
        <is>
          <t>LUDVIKA</t>
        </is>
      </c>
      <c r="G1011" t="n">
        <v>3.2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34844-2024 artfynd.xlsx", "A 34844-2024")</f>
        <v/>
      </c>
      <c r="T1011">
        <f>HYPERLINK("https://klasma.github.io/Logging_2085/kartor/A 34844-2024 karta.png", "A 34844-2024")</f>
        <v/>
      </c>
      <c r="U1011">
        <f>HYPERLINK("https://klasma.github.io/Logging_2085/knärot/A 34844-2024 karta knärot.png", "A 34844-2024")</f>
        <v/>
      </c>
      <c r="V1011">
        <f>HYPERLINK("https://klasma.github.io/Logging_2085/klagomål/A 34844-2024 FSC-klagomål.docx", "A 34844-2024")</f>
        <v/>
      </c>
      <c r="W1011">
        <f>HYPERLINK("https://klasma.github.io/Logging_2085/klagomålsmail/A 34844-2024 FSC-klagomål mail.docx", "A 34844-2024")</f>
        <v/>
      </c>
      <c r="X1011">
        <f>HYPERLINK("https://klasma.github.io/Logging_2085/tillsyn/A 34844-2024 tillsynsbegäran.docx", "A 34844-2024")</f>
        <v/>
      </c>
      <c r="Y1011">
        <f>HYPERLINK("https://klasma.github.io/Logging_2085/tillsynsmail/A 34844-2024 tillsynsbegäran mail.docx", "A 34844-2024")</f>
        <v/>
      </c>
    </row>
    <row r="1012" ht="15" customHeight="1">
      <c r="A1012" t="inlineStr">
        <is>
          <t>A 34942-2024</t>
        </is>
      </c>
      <c r="B1012" s="1" t="n">
        <v>45527</v>
      </c>
      <c r="C1012" s="1" t="n">
        <v>45706</v>
      </c>
      <c r="D1012" t="inlineStr">
        <is>
          <t>DALARNAS LÄN</t>
        </is>
      </c>
      <c r="E1012" t="inlineStr">
        <is>
          <t>SMEDJEBACKEN</t>
        </is>
      </c>
      <c r="G1012" t="n">
        <v>11</v>
      </c>
      <c r="H1012" t="n">
        <v>0</v>
      </c>
      <c r="I1012" t="n">
        <v>0</v>
      </c>
      <c r="J1012" t="n">
        <v>1</v>
      </c>
      <c r="K1012" t="n">
        <v>0</v>
      </c>
      <c r="L1012" t="n">
        <v>0</v>
      </c>
      <c r="M1012" t="n">
        <v>0</v>
      </c>
      <c r="N1012" t="n">
        <v>0</v>
      </c>
      <c r="O1012" t="n">
        <v>1</v>
      </c>
      <c r="P1012" t="n">
        <v>0</v>
      </c>
      <c r="Q1012" t="n">
        <v>1</v>
      </c>
      <c r="R1012" s="2" t="inlineStr">
        <is>
          <t>Skogsklocka</t>
        </is>
      </c>
      <c r="S1012">
        <f>HYPERLINK("https://klasma.github.io/Logging_2061/artfynd/A 34942-2024 artfynd.xlsx", "A 34942-2024")</f>
        <v/>
      </c>
      <c r="T1012">
        <f>HYPERLINK("https://klasma.github.io/Logging_2061/kartor/A 34942-2024 karta.png", "A 34942-2024")</f>
        <v/>
      </c>
      <c r="V1012">
        <f>HYPERLINK("https://klasma.github.io/Logging_2061/klagomål/A 34942-2024 FSC-klagomål.docx", "A 34942-2024")</f>
        <v/>
      </c>
      <c r="W1012">
        <f>HYPERLINK("https://klasma.github.io/Logging_2061/klagomålsmail/A 34942-2024 FSC-klagomål mail.docx", "A 34942-2024")</f>
        <v/>
      </c>
      <c r="X1012">
        <f>HYPERLINK("https://klasma.github.io/Logging_2061/tillsyn/A 34942-2024 tillsynsbegäran.docx", "A 34942-2024")</f>
        <v/>
      </c>
      <c r="Y1012">
        <f>HYPERLINK("https://klasma.github.io/Logging_2061/tillsynsmail/A 34942-2024 tillsynsbegäran mail.docx", "A 34942-2024")</f>
        <v/>
      </c>
    </row>
    <row r="1013" ht="15" customHeight="1">
      <c r="A1013" t="inlineStr">
        <is>
          <t>A 35539-2024</t>
        </is>
      </c>
      <c r="B1013" s="1" t="n">
        <v>45531</v>
      </c>
      <c r="C1013" s="1" t="n">
        <v>45706</v>
      </c>
      <c r="D1013" t="inlineStr">
        <is>
          <t>DALARNAS LÄN</t>
        </is>
      </c>
      <c r="E1013" t="inlineStr">
        <is>
          <t>RÄTTVIK</t>
        </is>
      </c>
      <c r="G1013" t="n">
        <v>2</v>
      </c>
      <c r="H1013" t="n">
        <v>1</v>
      </c>
      <c r="I1013" t="n">
        <v>0</v>
      </c>
      <c r="J1013" t="n">
        <v>0</v>
      </c>
      <c r="K1013" t="n">
        <v>0</v>
      </c>
      <c r="L1013" t="n">
        <v>0</v>
      </c>
      <c r="M1013" t="n">
        <v>0</v>
      </c>
      <c r="N1013" t="n">
        <v>0</v>
      </c>
      <c r="O1013" t="n">
        <v>0</v>
      </c>
      <c r="P1013" t="n">
        <v>0</v>
      </c>
      <c r="Q1013" t="n">
        <v>1</v>
      </c>
      <c r="R1013" s="2" t="inlineStr">
        <is>
          <t>Nattviol</t>
        </is>
      </c>
      <c r="S1013">
        <f>HYPERLINK("https://klasma.github.io/Logging_2031/artfynd/A 35539-2024 artfynd.xlsx", "A 35539-2024")</f>
        <v/>
      </c>
      <c r="T1013">
        <f>HYPERLINK("https://klasma.github.io/Logging_2031/kartor/A 35539-2024 karta.png", "A 35539-2024")</f>
        <v/>
      </c>
      <c r="V1013">
        <f>HYPERLINK("https://klasma.github.io/Logging_2031/klagomål/A 35539-2024 FSC-klagomål.docx", "A 35539-2024")</f>
        <v/>
      </c>
      <c r="W1013">
        <f>HYPERLINK("https://klasma.github.io/Logging_2031/klagomålsmail/A 35539-2024 FSC-klagomål mail.docx", "A 35539-2024")</f>
        <v/>
      </c>
      <c r="X1013">
        <f>HYPERLINK("https://klasma.github.io/Logging_2031/tillsyn/A 35539-2024 tillsynsbegäran.docx", "A 35539-2024")</f>
        <v/>
      </c>
      <c r="Y1013">
        <f>HYPERLINK("https://klasma.github.io/Logging_2031/tillsynsmail/A 35539-2024 tillsynsbegäran mail.docx", "A 35539-2024")</f>
        <v/>
      </c>
    </row>
    <row r="1014" ht="15" customHeight="1">
      <c r="A1014" t="inlineStr">
        <is>
          <t>A 35813-2024</t>
        </is>
      </c>
      <c r="B1014" s="1" t="n">
        <v>45532</v>
      </c>
      <c r="C1014" s="1" t="n">
        <v>45706</v>
      </c>
      <c r="D1014" t="inlineStr">
        <is>
          <t>DALARNAS LÄN</t>
        </is>
      </c>
      <c r="E1014" t="inlineStr">
        <is>
          <t>FALUN</t>
        </is>
      </c>
      <c r="G1014" t="n">
        <v>1.2</v>
      </c>
      <c r="H1014" t="n">
        <v>1</v>
      </c>
      <c r="I1014" t="n">
        <v>0</v>
      </c>
      <c r="J1014" t="n">
        <v>1</v>
      </c>
      <c r="K1014" t="n">
        <v>0</v>
      </c>
      <c r="L1014" t="n">
        <v>0</v>
      </c>
      <c r="M1014" t="n">
        <v>0</v>
      </c>
      <c r="N1014" t="n">
        <v>0</v>
      </c>
      <c r="O1014" t="n">
        <v>1</v>
      </c>
      <c r="P1014" t="n">
        <v>0</v>
      </c>
      <c r="Q1014" t="n">
        <v>1</v>
      </c>
      <c r="R1014" s="2" t="inlineStr">
        <is>
          <t>Talltita</t>
        </is>
      </c>
      <c r="S1014">
        <f>HYPERLINK("https://klasma.github.io/Logging_2080/artfynd/A 35813-2024 artfynd.xlsx", "A 35813-2024")</f>
        <v/>
      </c>
      <c r="T1014">
        <f>HYPERLINK("https://klasma.github.io/Logging_2080/kartor/A 35813-2024 karta.png", "A 35813-2024")</f>
        <v/>
      </c>
      <c r="V1014">
        <f>HYPERLINK("https://klasma.github.io/Logging_2080/klagomål/A 35813-2024 FSC-klagomål.docx", "A 35813-2024")</f>
        <v/>
      </c>
      <c r="W1014">
        <f>HYPERLINK("https://klasma.github.io/Logging_2080/klagomålsmail/A 35813-2024 FSC-klagomål mail.docx", "A 35813-2024")</f>
        <v/>
      </c>
      <c r="X1014">
        <f>HYPERLINK("https://klasma.github.io/Logging_2080/tillsyn/A 35813-2024 tillsynsbegäran.docx", "A 35813-2024")</f>
        <v/>
      </c>
      <c r="Y1014">
        <f>HYPERLINK("https://klasma.github.io/Logging_2080/tillsynsmail/A 35813-2024 tillsynsbegäran mail.docx", "A 35813-2024")</f>
        <v/>
      </c>
      <c r="Z1014">
        <f>HYPERLINK("https://klasma.github.io/Logging_2080/fåglar/A 35813-2024 prioriterade fågelarter.docx", "A 35813-2024")</f>
        <v/>
      </c>
    </row>
    <row r="1015" ht="15" customHeight="1">
      <c r="A1015" t="inlineStr">
        <is>
          <t>A 37313-2024</t>
        </is>
      </c>
      <c r="B1015" s="1" t="n">
        <v>45540</v>
      </c>
      <c r="C1015" s="1" t="n">
        <v>45706</v>
      </c>
      <c r="D1015" t="inlineStr">
        <is>
          <t>DALARNAS LÄN</t>
        </is>
      </c>
      <c r="E1015" t="inlineStr">
        <is>
          <t>SMEDJEBACKEN</t>
        </is>
      </c>
      <c r="F1015" t="inlineStr">
        <is>
          <t>Bergvik skog väst AB</t>
        </is>
      </c>
      <c r="G1015" t="n">
        <v>46.5</v>
      </c>
      <c r="H1015" t="n">
        <v>0</v>
      </c>
      <c r="I1015" t="n">
        <v>1</v>
      </c>
      <c r="J1015" t="n">
        <v>0</v>
      </c>
      <c r="K1015" t="n">
        <v>0</v>
      </c>
      <c r="L1015" t="n">
        <v>0</v>
      </c>
      <c r="M1015" t="n">
        <v>0</v>
      </c>
      <c r="N1015" t="n">
        <v>0</v>
      </c>
      <c r="O1015" t="n">
        <v>0</v>
      </c>
      <c r="P1015" t="n">
        <v>0</v>
      </c>
      <c r="Q1015" t="n">
        <v>1</v>
      </c>
      <c r="R1015" s="2" t="inlineStr">
        <is>
          <t>Fjällig taggsvamp s.str.</t>
        </is>
      </c>
      <c r="S1015">
        <f>HYPERLINK("https://klasma.github.io/Logging_2061/artfynd/A 37313-2024 artfynd.xlsx", "A 37313-2024")</f>
        <v/>
      </c>
      <c r="T1015">
        <f>HYPERLINK("https://klasma.github.io/Logging_2061/kartor/A 37313-2024 karta.png", "A 37313-2024")</f>
        <v/>
      </c>
      <c r="V1015">
        <f>HYPERLINK("https://klasma.github.io/Logging_2061/klagomål/A 37313-2024 FSC-klagomål.docx", "A 37313-2024")</f>
        <v/>
      </c>
      <c r="W1015">
        <f>HYPERLINK("https://klasma.github.io/Logging_2061/klagomålsmail/A 37313-2024 FSC-klagomål mail.docx", "A 37313-2024")</f>
        <v/>
      </c>
      <c r="X1015">
        <f>HYPERLINK("https://klasma.github.io/Logging_2061/tillsyn/A 37313-2024 tillsynsbegäran.docx", "A 37313-2024")</f>
        <v/>
      </c>
      <c r="Y1015">
        <f>HYPERLINK("https://klasma.github.io/Logging_2061/tillsynsmail/A 37313-2024 tillsynsbegäran mail.docx", "A 37313-2024")</f>
        <v/>
      </c>
    </row>
    <row r="1016" ht="15" customHeight="1">
      <c r="A1016" t="inlineStr">
        <is>
          <t>A 37639-2024</t>
        </is>
      </c>
      <c r="B1016" s="1" t="n">
        <v>45541</v>
      </c>
      <c r="C1016" s="1" t="n">
        <v>45706</v>
      </c>
      <c r="D1016" t="inlineStr">
        <is>
          <t>DALARNAS LÄN</t>
        </is>
      </c>
      <c r="E1016" t="inlineStr">
        <is>
          <t>LUDVIKA</t>
        </is>
      </c>
      <c r="F1016" t="inlineStr">
        <is>
          <t>Bergvik skog väst AB</t>
        </is>
      </c>
      <c r="G1016" t="n">
        <v>1.6</v>
      </c>
      <c r="H1016" t="n">
        <v>0</v>
      </c>
      <c r="I1016" t="n">
        <v>1</v>
      </c>
      <c r="J1016" t="n">
        <v>0</v>
      </c>
      <c r="K1016" t="n">
        <v>0</v>
      </c>
      <c r="L1016" t="n">
        <v>0</v>
      </c>
      <c r="M1016" t="n">
        <v>0</v>
      </c>
      <c r="N1016" t="n">
        <v>0</v>
      </c>
      <c r="O1016" t="n">
        <v>0</v>
      </c>
      <c r="P1016" t="n">
        <v>0</v>
      </c>
      <c r="Q1016" t="n">
        <v>1</v>
      </c>
      <c r="R1016" s="2" t="inlineStr">
        <is>
          <t>Gulnål</t>
        </is>
      </c>
      <c r="S1016">
        <f>HYPERLINK("https://klasma.github.io/Logging_2085/artfynd/A 37639-2024 artfynd.xlsx", "A 37639-2024")</f>
        <v/>
      </c>
      <c r="T1016">
        <f>HYPERLINK("https://klasma.github.io/Logging_2085/kartor/A 37639-2024 karta.png", "A 37639-2024")</f>
        <v/>
      </c>
      <c r="V1016">
        <f>HYPERLINK("https://klasma.github.io/Logging_2085/klagomål/A 37639-2024 FSC-klagomål.docx", "A 37639-2024")</f>
        <v/>
      </c>
      <c r="W1016">
        <f>HYPERLINK("https://klasma.github.io/Logging_2085/klagomålsmail/A 37639-2024 FSC-klagomål mail.docx", "A 37639-2024")</f>
        <v/>
      </c>
      <c r="X1016">
        <f>HYPERLINK("https://klasma.github.io/Logging_2085/tillsyn/A 37639-2024 tillsynsbegäran.docx", "A 37639-2024")</f>
        <v/>
      </c>
      <c r="Y1016">
        <f>HYPERLINK("https://klasma.github.io/Logging_2085/tillsynsmail/A 37639-2024 tillsynsbegäran mail.docx", "A 37639-2024")</f>
        <v/>
      </c>
    </row>
    <row r="1017" ht="15" customHeight="1">
      <c r="A1017" t="inlineStr">
        <is>
          <t>A 42614-2024</t>
        </is>
      </c>
      <c r="B1017" s="1" t="n">
        <v>45565</v>
      </c>
      <c r="C1017" s="1" t="n">
        <v>45706</v>
      </c>
      <c r="D1017" t="inlineStr">
        <is>
          <t>DALARNAS LÄN</t>
        </is>
      </c>
      <c r="E1017" t="inlineStr">
        <is>
          <t>HEDEMORA</t>
        </is>
      </c>
      <c r="F1017" t="inlineStr">
        <is>
          <t>Sveaskog</t>
        </is>
      </c>
      <c r="G1017" t="n">
        <v>3</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42614-2024 artfynd.xlsx", "A 42614-2024")</f>
        <v/>
      </c>
      <c r="T1017">
        <f>HYPERLINK("https://klasma.github.io/Logging_2083/kartor/A 42614-2024 karta.png", "A 42614-2024")</f>
        <v/>
      </c>
      <c r="V1017">
        <f>HYPERLINK("https://klasma.github.io/Logging_2083/klagomål/A 42614-2024 FSC-klagomål.docx", "A 42614-2024")</f>
        <v/>
      </c>
      <c r="W1017">
        <f>HYPERLINK("https://klasma.github.io/Logging_2083/klagomålsmail/A 42614-2024 FSC-klagomål mail.docx", "A 42614-2024")</f>
        <v/>
      </c>
      <c r="X1017">
        <f>HYPERLINK("https://klasma.github.io/Logging_2083/tillsyn/A 42614-2024 tillsynsbegäran.docx", "A 42614-2024")</f>
        <v/>
      </c>
      <c r="Y1017">
        <f>HYPERLINK("https://klasma.github.io/Logging_2083/tillsynsmail/A 42614-2024 tillsynsbegäran mail.docx", "A 42614-2024")</f>
        <v/>
      </c>
      <c r="Z1017">
        <f>HYPERLINK("https://klasma.github.io/Logging_2083/fåglar/A 42614-2024 prioriterade fågelarter.docx", "A 42614-2024")</f>
        <v/>
      </c>
    </row>
    <row r="1018" ht="15" customHeight="1">
      <c r="A1018" t="inlineStr">
        <is>
          <t>A 43239-2024</t>
        </is>
      </c>
      <c r="B1018" s="1" t="n">
        <v>45568</v>
      </c>
      <c r="C1018" s="1" t="n">
        <v>45706</v>
      </c>
      <c r="D1018" t="inlineStr">
        <is>
          <t>DALARNAS LÄN</t>
        </is>
      </c>
      <c r="E1018" t="inlineStr">
        <is>
          <t>LUDVIKA</t>
        </is>
      </c>
      <c r="G1018" t="n">
        <v>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43239-2024 artfynd.xlsx", "A 43239-2024")</f>
        <v/>
      </c>
      <c r="T1018">
        <f>HYPERLINK("https://klasma.github.io/Logging_2085/kartor/A 43239-2024 karta.png", "A 43239-2024")</f>
        <v/>
      </c>
      <c r="V1018">
        <f>HYPERLINK("https://klasma.github.io/Logging_2085/klagomål/A 43239-2024 FSC-klagomål.docx", "A 43239-2024")</f>
        <v/>
      </c>
      <c r="W1018">
        <f>HYPERLINK("https://klasma.github.io/Logging_2085/klagomålsmail/A 43239-2024 FSC-klagomål mail.docx", "A 43239-2024")</f>
        <v/>
      </c>
      <c r="X1018">
        <f>HYPERLINK("https://klasma.github.io/Logging_2085/tillsyn/A 43239-2024 tillsynsbegäran.docx", "A 43239-2024")</f>
        <v/>
      </c>
      <c r="Y1018">
        <f>HYPERLINK("https://klasma.github.io/Logging_2085/tillsynsmail/A 43239-2024 tillsynsbegäran mail.docx", "A 43239-2024")</f>
        <v/>
      </c>
    </row>
    <row r="1019" ht="15" customHeight="1">
      <c r="A1019" t="inlineStr">
        <is>
          <t>A 44138-2024</t>
        </is>
      </c>
      <c r="B1019" s="1" t="n">
        <v>45572</v>
      </c>
      <c r="C1019" s="1" t="n">
        <v>45706</v>
      </c>
      <c r="D1019" t="inlineStr">
        <is>
          <t>DALARNAS LÄN</t>
        </is>
      </c>
      <c r="E1019" t="inlineStr">
        <is>
          <t>LEKSAND</t>
        </is>
      </c>
      <c r="G1019" t="n">
        <v>2.5</v>
      </c>
      <c r="H1019" t="n">
        <v>0</v>
      </c>
      <c r="I1019" t="n">
        <v>0</v>
      </c>
      <c r="J1019" t="n">
        <v>1</v>
      </c>
      <c r="K1019" t="n">
        <v>0</v>
      </c>
      <c r="L1019" t="n">
        <v>0</v>
      </c>
      <c r="M1019" t="n">
        <v>0</v>
      </c>
      <c r="N1019" t="n">
        <v>0</v>
      </c>
      <c r="O1019" t="n">
        <v>1</v>
      </c>
      <c r="P1019" t="n">
        <v>0</v>
      </c>
      <c r="Q1019" t="n">
        <v>1</v>
      </c>
      <c r="R1019" s="2" t="inlineStr">
        <is>
          <t>Garnlav</t>
        </is>
      </c>
      <c r="S1019">
        <f>HYPERLINK("https://klasma.github.io/Logging_2029/artfynd/A 44138-2024 artfynd.xlsx", "A 44138-2024")</f>
        <v/>
      </c>
      <c r="T1019">
        <f>HYPERLINK("https://klasma.github.io/Logging_2029/kartor/A 44138-2024 karta.png", "A 44138-2024")</f>
        <v/>
      </c>
      <c r="V1019">
        <f>HYPERLINK("https://klasma.github.io/Logging_2029/klagomål/A 44138-2024 FSC-klagomål.docx", "A 44138-2024")</f>
        <v/>
      </c>
      <c r="W1019">
        <f>HYPERLINK("https://klasma.github.io/Logging_2029/klagomålsmail/A 44138-2024 FSC-klagomål mail.docx", "A 44138-2024")</f>
        <v/>
      </c>
      <c r="X1019">
        <f>HYPERLINK("https://klasma.github.io/Logging_2029/tillsyn/A 44138-2024 tillsynsbegäran.docx", "A 44138-2024")</f>
        <v/>
      </c>
      <c r="Y1019">
        <f>HYPERLINK("https://klasma.github.io/Logging_2029/tillsynsmail/A 44138-2024 tillsynsbegäran mail.docx", "A 44138-2024")</f>
        <v/>
      </c>
    </row>
    <row r="1020" ht="15" customHeight="1">
      <c r="A1020" t="inlineStr">
        <is>
          <t>A 44321-2024</t>
        </is>
      </c>
      <c r="B1020" s="1" t="n">
        <v>45573</v>
      </c>
      <c r="C1020" s="1" t="n">
        <v>45706</v>
      </c>
      <c r="D1020" t="inlineStr">
        <is>
          <t>DALARNAS LÄN</t>
        </is>
      </c>
      <c r="E1020" t="inlineStr">
        <is>
          <t>VANSBRO</t>
        </is>
      </c>
      <c r="G1020" t="n">
        <v>5.3</v>
      </c>
      <c r="H1020" t="n">
        <v>0</v>
      </c>
      <c r="I1020" t="n">
        <v>0</v>
      </c>
      <c r="J1020" t="n">
        <v>1</v>
      </c>
      <c r="K1020" t="n">
        <v>0</v>
      </c>
      <c r="L1020" t="n">
        <v>0</v>
      </c>
      <c r="M1020" t="n">
        <v>0</v>
      </c>
      <c r="N1020" t="n">
        <v>0</v>
      </c>
      <c r="O1020" t="n">
        <v>1</v>
      </c>
      <c r="P1020" t="n">
        <v>0</v>
      </c>
      <c r="Q1020" t="n">
        <v>1</v>
      </c>
      <c r="R1020" s="2" t="inlineStr">
        <is>
          <t>Rosenticka</t>
        </is>
      </c>
      <c r="S1020">
        <f>HYPERLINK("https://klasma.github.io/Logging_2021/artfynd/A 44321-2024 artfynd.xlsx", "A 44321-2024")</f>
        <v/>
      </c>
      <c r="T1020">
        <f>HYPERLINK("https://klasma.github.io/Logging_2021/kartor/A 44321-2024 karta.png", "A 44321-2024")</f>
        <v/>
      </c>
      <c r="V1020">
        <f>HYPERLINK("https://klasma.github.io/Logging_2021/klagomål/A 44321-2024 FSC-klagomål.docx", "A 44321-2024")</f>
        <v/>
      </c>
      <c r="W1020">
        <f>HYPERLINK("https://klasma.github.io/Logging_2021/klagomålsmail/A 44321-2024 FSC-klagomål mail.docx", "A 44321-2024")</f>
        <v/>
      </c>
      <c r="X1020">
        <f>HYPERLINK("https://klasma.github.io/Logging_2021/tillsyn/A 44321-2024 tillsynsbegäran.docx", "A 44321-2024")</f>
        <v/>
      </c>
      <c r="Y1020">
        <f>HYPERLINK("https://klasma.github.io/Logging_2021/tillsynsmail/A 44321-2024 tillsynsbegäran mail.docx", "A 44321-2024")</f>
        <v/>
      </c>
    </row>
    <row r="1021" ht="15" customHeight="1">
      <c r="A1021" t="inlineStr">
        <is>
          <t>A 45225-2024</t>
        </is>
      </c>
      <c r="B1021" s="1" t="n">
        <v>45575</v>
      </c>
      <c r="C1021" s="1" t="n">
        <v>45706</v>
      </c>
      <c r="D1021" t="inlineStr">
        <is>
          <t>DALARNAS LÄN</t>
        </is>
      </c>
      <c r="E1021" t="inlineStr">
        <is>
          <t>LUDVIKA</t>
        </is>
      </c>
      <c r="G1021" t="n">
        <v>1.1</v>
      </c>
      <c r="H1021" t="n">
        <v>1</v>
      </c>
      <c r="I1021" t="n">
        <v>0</v>
      </c>
      <c r="J1021" t="n">
        <v>1</v>
      </c>
      <c r="K1021" t="n">
        <v>0</v>
      </c>
      <c r="L1021" t="n">
        <v>0</v>
      </c>
      <c r="M1021" t="n">
        <v>0</v>
      </c>
      <c r="N1021" t="n">
        <v>0</v>
      </c>
      <c r="O1021" t="n">
        <v>1</v>
      </c>
      <c r="P1021" t="n">
        <v>0</v>
      </c>
      <c r="Q1021" t="n">
        <v>1</v>
      </c>
      <c r="R1021" s="2" t="inlineStr">
        <is>
          <t>Ärtsångare</t>
        </is>
      </c>
      <c r="S1021">
        <f>HYPERLINK("https://klasma.github.io/Logging_2085/artfynd/A 45225-2024 artfynd.xlsx", "A 45225-2024")</f>
        <v/>
      </c>
      <c r="T1021">
        <f>HYPERLINK("https://klasma.github.io/Logging_2085/kartor/A 45225-2024 karta.png", "A 45225-2024")</f>
        <v/>
      </c>
      <c r="V1021">
        <f>HYPERLINK("https://klasma.github.io/Logging_2085/klagomål/A 45225-2024 FSC-klagomål.docx", "A 45225-2024")</f>
        <v/>
      </c>
      <c r="W1021">
        <f>HYPERLINK("https://klasma.github.io/Logging_2085/klagomålsmail/A 45225-2024 FSC-klagomål mail.docx", "A 45225-2024")</f>
        <v/>
      </c>
      <c r="X1021">
        <f>HYPERLINK("https://klasma.github.io/Logging_2085/tillsyn/A 45225-2024 tillsynsbegäran.docx", "A 45225-2024")</f>
        <v/>
      </c>
      <c r="Y1021">
        <f>HYPERLINK("https://klasma.github.io/Logging_2085/tillsynsmail/A 45225-2024 tillsynsbegäran mail.docx", "A 45225-2024")</f>
        <v/>
      </c>
      <c r="Z1021">
        <f>HYPERLINK("https://klasma.github.io/Logging_2085/fåglar/A 45225-2024 prioriterade fågelarter.docx", "A 45225-2024")</f>
        <v/>
      </c>
    </row>
    <row r="1022" ht="15" customHeight="1">
      <c r="A1022" t="inlineStr">
        <is>
          <t>A 45201-2024</t>
        </is>
      </c>
      <c r="B1022" s="1" t="n">
        <v>45575</v>
      </c>
      <c r="C1022" s="1" t="n">
        <v>45706</v>
      </c>
      <c r="D1022" t="inlineStr">
        <is>
          <t>DALARNAS LÄN</t>
        </is>
      </c>
      <c r="E1022" t="inlineStr">
        <is>
          <t>ÄLVDALEN</t>
        </is>
      </c>
      <c r="G1022" t="n">
        <v>24.6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45410-2024</t>
        </is>
      </c>
      <c r="B1023" s="1" t="n">
        <v>45576</v>
      </c>
      <c r="C1023" s="1" t="n">
        <v>45706</v>
      </c>
      <c r="D1023" t="inlineStr">
        <is>
          <t>DALARNAS LÄN</t>
        </is>
      </c>
      <c r="E1023" t="inlineStr">
        <is>
          <t>MORA</t>
        </is>
      </c>
      <c r="G1023" t="n">
        <v>1.1</v>
      </c>
      <c r="H1023" t="n">
        <v>0</v>
      </c>
      <c r="I1023" t="n">
        <v>0</v>
      </c>
      <c r="J1023" t="n">
        <v>1</v>
      </c>
      <c r="K1023" t="n">
        <v>0</v>
      </c>
      <c r="L1023" t="n">
        <v>0</v>
      </c>
      <c r="M1023" t="n">
        <v>0</v>
      </c>
      <c r="N1023" t="n">
        <v>0</v>
      </c>
      <c r="O1023" t="n">
        <v>1</v>
      </c>
      <c r="P1023" t="n">
        <v>0</v>
      </c>
      <c r="Q1023" t="n">
        <v>1</v>
      </c>
      <c r="R1023" s="2" t="inlineStr">
        <is>
          <t>Tallticka</t>
        </is>
      </c>
      <c r="S1023">
        <f>HYPERLINK("https://klasma.github.io/Logging_2062/artfynd/A 45410-2024 artfynd.xlsx", "A 45410-2024")</f>
        <v/>
      </c>
      <c r="T1023">
        <f>HYPERLINK("https://klasma.github.io/Logging_2062/kartor/A 45410-2024 karta.png", "A 45410-2024")</f>
        <v/>
      </c>
      <c r="V1023">
        <f>HYPERLINK("https://klasma.github.io/Logging_2062/klagomål/A 45410-2024 FSC-klagomål.docx", "A 45410-2024")</f>
        <v/>
      </c>
      <c r="W1023">
        <f>HYPERLINK("https://klasma.github.io/Logging_2062/klagomålsmail/A 45410-2024 FSC-klagomål mail.docx", "A 45410-2024")</f>
        <v/>
      </c>
      <c r="X1023">
        <f>HYPERLINK("https://klasma.github.io/Logging_2062/tillsyn/A 45410-2024 tillsynsbegäran.docx", "A 45410-2024")</f>
        <v/>
      </c>
      <c r="Y1023">
        <f>HYPERLINK("https://klasma.github.io/Logging_2062/tillsynsmail/A 45410-2024 tillsynsbegäran mail.docx", "A 45410-2024")</f>
        <v/>
      </c>
    </row>
    <row r="1024" ht="15" customHeight="1">
      <c r="A1024" t="inlineStr">
        <is>
          <t>A 45362-2024</t>
        </is>
      </c>
      <c r="B1024" s="1" t="n">
        <v>45576</v>
      </c>
      <c r="C1024" s="1" t="n">
        <v>45706</v>
      </c>
      <c r="D1024" t="inlineStr">
        <is>
          <t>DALARNAS LÄN</t>
        </is>
      </c>
      <c r="E1024" t="inlineStr">
        <is>
          <t>VANSBRO</t>
        </is>
      </c>
      <c r="G1024" t="n">
        <v>4.2</v>
      </c>
      <c r="H1024" t="n">
        <v>0</v>
      </c>
      <c r="I1024" t="n">
        <v>1</v>
      </c>
      <c r="J1024" t="n">
        <v>0</v>
      </c>
      <c r="K1024" t="n">
        <v>0</v>
      </c>
      <c r="L1024" t="n">
        <v>0</v>
      </c>
      <c r="M1024" t="n">
        <v>0</v>
      </c>
      <c r="N1024" t="n">
        <v>0</v>
      </c>
      <c r="O1024" t="n">
        <v>0</v>
      </c>
      <c r="P1024" t="n">
        <v>0</v>
      </c>
      <c r="Q1024" t="n">
        <v>1</v>
      </c>
      <c r="R1024" s="2" t="inlineStr">
        <is>
          <t>Bollvitmossa</t>
        </is>
      </c>
      <c r="S1024">
        <f>HYPERLINK("https://klasma.github.io/Logging_2021/artfynd/A 45362-2024 artfynd.xlsx", "A 45362-2024")</f>
        <v/>
      </c>
      <c r="T1024">
        <f>HYPERLINK("https://klasma.github.io/Logging_2021/kartor/A 45362-2024 karta.png", "A 45362-2024")</f>
        <v/>
      </c>
      <c r="V1024">
        <f>HYPERLINK("https://klasma.github.io/Logging_2021/klagomål/A 45362-2024 FSC-klagomål.docx", "A 45362-2024")</f>
        <v/>
      </c>
      <c r="W1024">
        <f>HYPERLINK("https://klasma.github.io/Logging_2021/klagomålsmail/A 45362-2024 FSC-klagomål mail.docx", "A 45362-2024")</f>
        <v/>
      </c>
      <c r="X1024">
        <f>HYPERLINK("https://klasma.github.io/Logging_2021/tillsyn/A 45362-2024 tillsynsbegäran.docx", "A 45362-2024")</f>
        <v/>
      </c>
      <c r="Y1024">
        <f>HYPERLINK("https://klasma.github.io/Logging_2021/tillsynsmail/A 45362-2024 tillsynsbegäran mail.docx", "A 45362-2024")</f>
        <v/>
      </c>
    </row>
    <row r="1025" ht="15" customHeight="1">
      <c r="A1025" t="inlineStr">
        <is>
          <t>A 45344-2024</t>
        </is>
      </c>
      <c r="B1025" s="1" t="n">
        <v>45576</v>
      </c>
      <c r="C1025" s="1" t="n">
        <v>45706</v>
      </c>
      <c r="D1025" t="inlineStr">
        <is>
          <t>DALARNAS LÄN</t>
        </is>
      </c>
      <c r="E1025" t="inlineStr">
        <is>
          <t>MORA</t>
        </is>
      </c>
      <c r="G1025" t="n">
        <v>0.9</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45344-2024 artfynd.xlsx", "A 45344-2024")</f>
        <v/>
      </c>
      <c r="T1025">
        <f>HYPERLINK("https://klasma.github.io/Logging_2062/kartor/A 45344-2024 karta.png", "A 45344-2024")</f>
        <v/>
      </c>
      <c r="V1025">
        <f>HYPERLINK("https://klasma.github.io/Logging_2062/klagomål/A 45344-2024 FSC-klagomål.docx", "A 45344-2024")</f>
        <v/>
      </c>
      <c r="W1025">
        <f>HYPERLINK("https://klasma.github.io/Logging_2062/klagomålsmail/A 45344-2024 FSC-klagomål mail.docx", "A 45344-2024")</f>
        <v/>
      </c>
      <c r="X1025">
        <f>HYPERLINK("https://klasma.github.io/Logging_2062/tillsyn/A 45344-2024 tillsynsbegäran.docx", "A 45344-2024")</f>
        <v/>
      </c>
      <c r="Y1025">
        <f>HYPERLINK("https://klasma.github.io/Logging_2062/tillsynsmail/A 45344-2024 tillsynsbegäran mail.docx", "A 45344-2024")</f>
        <v/>
      </c>
    </row>
    <row r="1026" ht="15" customHeight="1">
      <c r="A1026" t="inlineStr">
        <is>
          <t>A 45577-2024</t>
        </is>
      </c>
      <c r="B1026" s="1" t="n">
        <v>45579</v>
      </c>
      <c r="C1026" s="1" t="n">
        <v>45706</v>
      </c>
      <c r="D1026" t="inlineStr">
        <is>
          <t>DALARNAS LÄN</t>
        </is>
      </c>
      <c r="E1026" t="inlineStr">
        <is>
          <t>SMEDJEBACKEN</t>
        </is>
      </c>
      <c r="F1026" t="inlineStr">
        <is>
          <t>Sveaskog</t>
        </is>
      </c>
      <c r="G1026" t="n">
        <v>18.6</v>
      </c>
      <c r="H1026" t="n">
        <v>1</v>
      </c>
      <c r="I1026" t="n">
        <v>0</v>
      </c>
      <c r="J1026" t="n">
        <v>0</v>
      </c>
      <c r="K1026" t="n">
        <v>0</v>
      </c>
      <c r="L1026" t="n">
        <v>0</v>
      </c>
      <c r="M1026" t="n">
        <v>0</v>
      </c>
      <c r="N1026" t="n">
        <v>0</v>
      </c>
      <c r="O1026" t="n">
        <v>0</v>
      </c>
      <c r="P1026" t="n">
        <v>0</v>
      </c>
      <c r="Q1026" t="n">
        <v>1</v>
      </c>
      <c r="R1026" s="2" t="inlineStr">
        <is>
          <t>Tjäder</t>
        </is>
      </c>
      <c r="S1026">
        <f>HYPERLINK("https://klasma.github.io/Logging_2061/artfynd/A 45577-2024 artfynd.xlsx", "A 45577-2024")</f>
        <v/>
      </c>
      <c r="T1026">
        <f>HYPERLINK("https://klasma.github.io/Logging_2061/kartor/A 45577-2024 karta.png", "A 45577-2024")</f>
        <v/>
      </c>
      <c r="V1026">
        <f>HYPERLINK("https://klasma.github.io/Logging_2061/klagomål/A 45577-2024 FSC-klagomål.docx", "A 45577-2024")</f>
        <v/>
      </c>
      <c r="W1026">
        <f>HYPERLINK("https://klasma.github.io/Logging_2061/klagomålsmail/A 45577-2024 FSC-klagomål mail.docx", "A 45577-2024")</f>
        <v/>
      </c>
      <c r="X1026">
        <f>HYPERLINK("https://klasma.github.io/Logging_2061/tillsyn/A 45577-2024 tillsynsbegäran.docx", "A 45577-2024")</f>
        <v/>
      </c>
      <c r="Y1026">
        <f>HYPERLINK("https://klasma.github.io/Logging_2061/tillsynsmail/A 45577-2024 tillsynsbegäran mail.docx", "A 45577-2024")</f>
        <v/>
      </c>
      <c r="Z1026">
        <f>HYPERLINK("https://klasma.github.io/Logging_2061/fåglar/A 45577-2024 prioriterade fågelarter.docx", "A 45577-2024")</f>
        <v/>
      </c>
    </row>
    <row r="1027" ht="15" customHeight="1">
      <c r="A1027" t="inlineStr">
        <is>
          <t>A 47620-2024</t>
        </is>
      </c>
      <c r="B1027" s="1" t="n">
        <v>45588</v>
      </c>
      <c r="C1027" s="1" t="n">
        <v>45706</v>
      </c>
      <c r="D1027" t="inlineStr">
        <is>
          <t>DALARNAS LÄN</t>
        </is>
      </c>
      <c r="E1027" t="inlineStr">
        <is>
          <t>RÄTTVIK</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HYPERLINK("https://klasma.github.io/Logging_2031/artfynd/A 47620-2024 artfynd.xlsx", "A 47620-2024")</f>
        <v/>
      </c>
      <c r="T1027">
        <f>HYPERLINK("https://klasma.github.io/Logging_2031/kartor/A 47620-2024 karta.png", "A 47620-2024")</f>
        <v/>
      </c>
      <c r="V1027">
        <f>HYPERLINK("https://klasma.github.io/Logging_2031/klagomål/A 47620-2024 FSC-klagomål.docx", "A 47620-2024")</f>
        <v/>
      </c>
      <c r="W1027">
        <f>HYPERLINK("https://klasma.github.io/Logging_2031/klagomålsmail/A 47620-2024 FSC-klagomål mail.docx", "A 47620-2024")</f>
        <v/>
      </c>
      <c r="X1027">
        <f>HYPERLINK("https://klasma.github.io/Logging_2031/tillsyn/A 47620-2024 tillsynsbegäran.docx", "A 47620-2024")</f>
        <v/>
      </c>
      <c r="Y1027">
        <f>HYPERLINK("https://klasma.github.io/Logging_2031/tillsynsmail/A 47620-2024 tillsynsbegäran mail.docx", "A 47620-2024")</f>
        <v/>
      </c>
    </row>
    <row r="1028" ht="15" customHeight="1">
      <c r="A1028" t="inlineStr">
        <is>
          <t>A 48323-2024</t>
        </is>
      </c>
      <c r="B1028" s="1" t="n">
        <v>45590</v>
      </c>
      <c r="C1028" s="1" t="n">
        <v>45706</v>
      </c>
      <c r="D1028" t="inlineStr">
        <is>
          <t>DALARNAS LÄN</t>
        </is>
      </c>
      <c r="E1028" t="inlineStr">
        <is>
          <t>HEDEMORA</t>
        </is>
      </c>
      <c r="F1028" t="inlineStr">
        <is>
          <t>Sveaskog</t>
        </is>
      </c>
      <c r="G1028" t="n">
        <v>3.8</v>
      </c>
      <c r="H1028" t="n">
        <v>1</v>
      </c>
      <c r="I1028" t="n">
        <v>0</v>
      </c>
      <c r="J1028" t="n">
        <v>0</v>
      </c>
      <c r="K1028" t="n">
        <v>0</v>
      </c>
      <c r="L1028" t="n">
        <v>0</v>
      </c>
      <c r="M1028" t="n">
        <v>0</v>
      </c>
      <c r="N1028" t="n">
        <v>0</v>
      </c>
      <c r="O1028" t="n">
        <v>0</v>
      </c>
      <c r="P1028" t="n">
        <v>0</v>
      </c>
      <c r="Q1028" t="n">
        <v>1</v>
      </c>
      <c r="R1028" s="2" t="inlineStr">
        <is>
          <t>Blåsippa</t>
        </is>
      </c>
      <c r="S1028">
        <f>HYPERLINK("https://klasma.github.io/Logging_2083/artfynd/A 48323-2024 artfynd.xlsx", "A 48323-2024")</f>
        <v/>
      </c>
      <c r="T1028">
        <f>HYPERLINK("https://klasma.github.io/Logging_2083/kartor/A 48323-2024 karta.png", "A 48323-2024")</f>
        <v/>
      </c>
      <c r="V1028">
        <f>HYPERLINK("https://klasma.github.io/Logging_2083/klagomål/A 48323-2024 FSC-klagomål.docx", "A 48323-2024")</f>
        <v/>
      </c>
      <c r="W1028">
        <f>HYPERLINK("https://klasma.github.io/Logging_2083/klagomålsmail/A 48323-2024 FSC-klagomål mail.docx", "A 48323-2024")</f>
        <v/>
      </c>
      <c r="X1028">
        <f>HYPERLINK("https://klasma.github.io/Logging_2083/tillsyn/A 48323-2024 tillsynsbegäran.docx", "A 48323-2024")</f>
        <v/>
      </c>
      <c r="Y1028">
        <f>HYPERLINK("https://klasma.github.io/Logging_2083/tillsynsmail/A 48323-2024 tillsynsbegäran mail.docx", "A 48323-2024")</f>
        <v/>
      </c>
    </row>
    <row r="1029" ht="15" customHeight="1">
      <c r="A1029" t="inlineStr">
        <is>
          <t>A 49660-2024</t>
        </is>
      </c>
      <c r="B1029" s="1" t="n">
        <v>45596</v>
      </c>
      <c r="C1029" s="1" t="n">
        <v>45706</v>
      </c>
      <c r="D1029" t="inlineStr">
        <is>
          <t>DALARNAS LÄN</t>
        </is>
      </c>
      <c r="E1029" t="inlineStr">
        <is>
          <t>LUDVIKA</t>
        </is>
      </c>
      <c r="F1029" t="inlineStr">
        <is>
          <t>Bergvik skog väst AB</t>
        </is>
      </c>
      <c r="G1029" t="n">
        <v>0.9</v>
      </c>
      <c r="H1029" t="n">
        <v>0</v>
      </c>
      <c r="I1029" t="n">
        <v>1</v>
      </c>
      <c r="J1029" t="n">
        <v>0</v>
      </c>
      <c r="K1029" t="n">
        <v>0</v>
      </c>
      <c r="L1029" t="n">
        <v>0</v>
      </c>
      <c r="M1029" t="n">
        <v>0</v>
      </c>
      <c r="N1029" t="n">
        <v>0</v>
      </c>
      <c r="O1029" t="n">
        <v>0</v>
      </c>
      <c r="P1029" t="n">
        <v>0</v>
      </c>
      <c r="Q1029" t="n">
        <v>1</v>
      </c>
      <c r="R1029" s="2" t="inlineStr">
        <is>
          <t>Mörk husmossa</t>
        </is>
      </c>
      <c r="S1029">
        <f>HYPERLINK("https://klasma.github.io/Logging_2085/artfynd/A 49660-2024 artfynd.xlsx", "A 49660-2024")</f>
        <v/>
      </c>
      <c r="T1029">
        <f>HYPERLINK("https://klasma.github.io/Logging_2085/kartor/A 49660-2024 karta.png", "A 49660-2024")</f>
        <v/>
      </c>
      <c r="V1029">
        <f>HYPERLINK("https://klasma.github.io/Logging_2085/klagomål/A 49660-2024 FSC-klagomål.docx", "A 49660-2024")</f>
        <v/>
      </c>
      <c r="W1029">
        <f>HYPERLINK("https://klasma.github.io/Logging_2085/klagomålsmail/A 49660-2024 FSC-klagomål mail.docx", "A 49660-2024")</f>
        <v/>
      </c>
      <c r="X1029">
        <f>HYPERLINK("https://klasma.github.io/Logging_2085/tillsyn/A 49660-2024 tillsynsbegäran.docx", "A 49660-2024")</f>
        <v/>
      </c>
      <c r="Y1029">
        <f>HYPERLINK("https://klasma.github.io/Logging_2085/tillsynsmail/A 49660-2024 tillsynsbegäran mail.docx", "A 49660-2024")</f>
        <v/>
      </c>
    </row>
    <row r="1030" ht="15" customHeight="1">
      <c r="A1030" t="inlineStr">
        <is>
          <t>A 50117-2024</t>
        </is>
      </c>
      <c r="B1030" s="1" t="n">
        <v>45600</v>
      </c>
      <c r="C1030" s="1" t="n">
        <v>45706</v>
      </c>
      <c r="D1030" t="inlineStr">
        <is>
          <t>DALARNAS LÄN</t>
        </is>
      </c>
      <c r="E1030" t="inlineStr">
        <is>
          <t>RÄTTVIK</t>
        </is>
      </c>
      <c r="G1030" t="n">
        <v>4.5</v>
      </c>
      <c r="H1030" t="n">
        <v>0</v>
      </c>
      <c r="I1030" t="n">
        <v>1</v>
      </c>
      <c r="J1030" t="n">
        <v>0</v>
      </c>
      <c r="K1030" t="n">
        <v>0</v>
      </c>
      <c r="L1030" t="n">
        <v>0</v>
      </c>
      <c r="M1030" t="n">
        <v>0</v>
      </c>
      <c r="N1030" t="n">
        <v>0</v>
      </c>
      <c r="O1030" t="n">
        <v>0</v>
      </c>
      <c r="P1030" t="n">
        <v>0</v>
      </c>
      <c r="Q1030" t="n">
        <v>1</v>
      </c>
      <c r="R1030" s="2" t="inlineStr">
        <is>
          <t>Finbräken</t>
        </is>
      </c>
      <c r="S1030">
        <f>HYPERLINK("https://klasma.github.io/Logging_2031/artfynd/A 50117-2024 artfynd.xlsx", "A 50117-2024")</f>
        <v/>
      </c>
      <c r="T1030">
        <f>HYPERLINK("https://klasma.github.io/Logging_2031/kartor/A 50117-2024 karta.png", "A 50117-2024")</f>
        <v/>
      </c>
      <c r="V1030">
        <f>HYPERLINK("https://klasma.github.io/Logging_2031/klagomål/A 50117-2024 FSC-klagomål.docx", "A 50117-2024")</f>
        <v/>
      </c>
      <c r="W1030">
        <f>HYPERLINK("https://klasma.github.io/Logging_2031/klagomålsmail/A 50117-2024 FSC-klagomål mail.docx", "A 50117-2024")</f>
        <v/>
      </c>
      <c r="X1030">
        <f>HYPERLINK("https://klasma.github.io/Logging_2031/tillsyn/A 50117-2024 tillsynsbegäran.docx", "A 50117-2024")</f>
        <v/>
      </c>
      <c r="Y1030">
        <f>HYPERLINK("https://klasma.github.io/Logging_2031/tillsynsmail/A 50117-2024 tillsynsbegäran mail.docx", "A 50117-2024")</f>
        <v/>
      </c>
    </row>
    <row r="1031" ht="15" customHeight="1">
      <c r="A1031" t="inlineStr">
        <is>
          <t>A 50177-2024</t>
        </is>
      </c>
      <c r="B1031" s="1" t="n">
        <v>45600</v>
      </c>
      <c r="C1031" s="1" t="n">
        <v>45706</v>
      </c>
      <c r="D1031" t="inlineStr">
        <is>
          <t>DALARNAS LÄN</t>
        </is>
      </c>
      <c r="E1031" t="inlineStr">
        <is>
          <t>LUDVIKA</t>
        </is>
      </c>
      <c r="F1031" t="inlineStr">
        <is>
          <t>Bergvik skog väst AB</t>
        </is>
      </c>
      <c r="G1031" t="n">
        <v>2.8</v>
      </c>
      <c r="H1031" t="n">
        <v>0</v>
      </c>
      <c r="I1031" t="n">
        <v>0</v>
      </c>
      <c r="J1031" t="n">
        <v>1</v>
      </c>
      <c r="K1031" t="n">
        <v>0</v>
      </c>
      <c r="L1031" t="n">
        <v>0</v>
      </c>
      <c r="M1031" t="n">
        <v>0</v>
      </c>
      <c r="N1031" t="n">
        <v>0</v>
      </c>
      <c r="O1031" t="n">
        <v>1</v>
      </c>
      <c r="P1031" t="n">
        <v>0</v>
      </c>
      <c r="Q1031" t="n">
        <v>1</v>
      </c>
      <c r="R1031" s="2" t="inlineStr">
        <is>
          <t>Grönhjon</t>
        </is>
      </c>
      <c r="S1031">
        <f>HYPERLINK("https://klasma.github.io/Logging_2085/artfynd/A 50177-2024 artfynd.xlsx", "A 50177-2024")</f>
        <v/>
      </c>
      <c r="T1031">
        <f>HYPERLINK("https://klasma.github.io/Logging_2085/kartor/A 50177-2024 karta.png", "A 50177-2024")</f>
        <v/>
      </c>
      <c r="V1031">
        <f>HYPERLINK("https://klasma.github.io/Logging_2085/klagomål/A 50177-2024 FSC-klagomål.docx", "A 50177-2024")</f>
        <v/>
      </c>
      <c r="W1031">
        <f>HYPERLINK("https://klasma.github.io/Logging_2085/klagomålsmail/A 50177-2024 FSC-klagomål mail.docx", "A 50177-2024")</f>
        <v/>
      </c>
      <c r="X1031">
        <f>HYPERLINK("https://klasma.github.io/Logging_2085/tillsyn/A 50177-2024 tillsynsbegäran.docx", "A 50177-2024")</f>
        <v/>
      </c>
      <c r="Y1031">
        <f>HYPERLINK("https://klasma.github.io/Logging_2085/tillsynsmail/A 50177-2024 tillsynsbegäran mail.docx", "A 50177-2024")</f>
        <v/>
      </c>
    </row>
    <row r="1032" ht="15" customHeight="1">
      <c r="A1032" t="inlineStr">
        <is>
          <t>A 50972-2024</t>
        </is>
      </c>
      <c r="B1032" s="1" t="n">
        <v>45603</v>
      </c>
      <c r="C1032" s="1" t="n">
        <v>45706</v>
      </c>
      <c r="D1032" t="inlineStr">
        <is>
          <t>DALARNAS LÄN</t>
        </is>
      </c>
      <c r="E1032" t="inlineStr">
        <is>
          <t>BORLÄNGE</t>
        </is>
      </c>
      <c r="G1032" t="n">
        <v>6.6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HYPERLINK("https://klasma.github.io/Logging_2081/artfynd/A 50972-2024 artfynd.xlsx", "A 50972-2024")</f>
        <v/>
      </c>
      <c r="T1032">
        <f>HYPERLINK("https://klasma.github.io/Logging_2081/kartor/A 50972-2024 karta.png", "A 50972-2024")</f>
        <v/>
      </c>
      <c r="V1032">
        <f>HYPERLINK("https://klasma.github.io/Logging_2081/klagomål/A 50972-2024 FSC-klagomål.docx", "A 50972-2024")</f>
        <v/>
      </c>
      <c r="W1032">
        <f>HYPERLINK("https://klasma.github.io/Logging_2081/klagomålsmail/A 50972-2024 FSC-klagomål mail.docx", "A 50972-2024")</f>
        <v/>
      </c>
      <c r="X1032">
        <f>HYPERLINK("https://klasma.github.io/Logging_2081/tillsyn/A 50972-2024 tillsynsbegäran.docx", "A 50972-2024")</f>
        <v/>
      </c>
      <c r="Y1032">
        <f>HYPERLINK("https://klasma.github.io/Logging_2081/tillsynsmail/A 50972-2024 tillsynsbegäran mail.docx", "A 50972-2024")</f>
        <v/>
      </c>
    </row>
    <row r="1033" ht="15" customHeight="1">
      <c r="A1033" t="inlineStr">
        <is>
          <t>A 50981-2024</t>
        </is>
      </c>
      <c r="B1033" s="1" t="n">
        <v>45603</v>
      </c>
      <c r="C1033" s="1" t="n">
        <v>45706</v>
      </c>
      <c r="D1033" t="inlineStr">
        <is>
          <t>DALARNAS LÄN</t>
        </is>
      </c>
      <c r="E1033" t="inlineStr">
        <is>
          <t>ÄLVDALEN</t>
        </is>
      </c>
      <c r="G1033" t="n">
        <v>5.1</v>
      </c>
      <c r="H1033" t="n">
        <v>0</v>
      </c>
      <c r="I1033" t="n">
        <v>0</v>
      </c>
      <c r="J1033" t="n">
        <v>1</v>
      </c>
      <c r="K1033" t="n">
        <v>0</v>
      </c>
      <c r="L1033" t="n">
        <v>0</v>
      </c>
      <c r="M1033" t="n">
        <v>0</v>
      </c>
      <c r="N1033" t="n">
        <v>0</v>
      </c>
      <c r="O1033" t="n">
        <v>1</v>
      </c>
      <c r="P1033" t="n">
        <v>0</v>
      </c>
      <c r="Q1033" t="n">
        <v>1</v>
      </c>
      <c r="R1033" s="2" t="inlineStr">
        <is>
          <t>Vedskivlav</t>
        </is>
      </c>
      <c r="S1033">
        <f>HYPERLINK("https://klasma.github.io/Logging_2039/artfynd/A 50981-2024 artfynd.xlsx", "A 50981-2024")</f>
        <v/>
      </c>
      <c r="T1033">
        <f>HYPERLINK("https://klasma.github.io/Logging_2039/kartor/A 50981-2024 karta.png", "A 50981-2024")</f>
        <v/>
      </c>
      <c r="V1033">
        <f>HYPERLINK("https://klasma.github.io/Logging_2039/klagomål/A 50981-2024 FSC-klagomål.docx", "A 50981-2024")</f>
        <v/>
      </c>
      <c r="W1033">
        <f>HYPERLINK("https://klasma.github.io/Logging_2039/klagomålsmail/A 50981-2024 FSC-klagomål mail.docx", "A 50981-2024")</f>
        <v/>
      </c>
      <c r="X1033">
        <f>HYPERLINK("https://klasma.github.io/Logging_2039/tillsyn/A 50981-2024 tillsynsbegäran.docx", "A 50981-2024")</f>
        <v/>
      </c>
      <c r="Y1033">
        <f>HYPERLINK("https://klasma.github.io/Logging_2039/tillsynsmail/A 50981-2024 tillsynsbegäran mail.docx", "A 50981-2024")</f>
        <v/>
      </c>
    </row>
    <row r="1034" ht="15" customHeight="1">
      <c r="A1034" t="inlineStr">
        <is>
          <t>A 51213-2024</t>
        </is>
      </c>
      <c r="B1034" s="1" t="n">
        <v>45603</v>
      </c>
      <c r="C1034" s="1" t="n">
        <v>45706</v>
      </c>
      <c r="D1034" t="inlineStr">
        <is>
          <t>DALARNAS LÄN</t>
        </is>
      </c>
      <c r="E1034" t="inlineStr">
        <is>
          <t>MORA</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HYPERLINK("https://klasma.github.io/Logging_2062/artfynd/A 51213-2024 artfynd.xlsx", "A 51213-2024")</f>
        <v/>
      </c>
      <c r="T1034">
        <f>HYPERLINK("https://klasma.github.io/Logging_2062/kartor/A 51213-2024 karta.png", "A 51213-2024")</f>
        <v/>
      </c>
      <c r="U1034">
        <f>HYPERLINK("https://klasma.github.io/Logging_2062/knärot/A 51213-2024 karta knärot.png", "A 51213-2024")</f>
        <v/>
      </c>
      <c r="V1034">
        <f>HYPERLINK("https://klasma.github.io/Logging_2062/klagomål/A 51213-2024 FSC-klagomål.docx", "A 51213-2024")</f>
        <v/>
      </c>
      <c r="W1034">
        <f>HYPERLINK("https://klasma.github.io/Logging_2062/klagomålsmail/A 51213-2024 FSC-klagomål mail.docx", "A 51213-2024")</f>
        <v/>
      </c>
      <c r="X1034">
        <f>HYPERLINK("https://klasma.github.io/Logging_2062/tillsyn/A 51213-2024 tillsynsbegäran.docx", "A 51213-2024")</f>
        <v/>
      </c>
      <c r="Y1034">
        <f>HYPERLINK("https://klasma.github.io/Logging_2062/tillsynsmail/A 51213-2024 tillsynsbegäran mail.docx", "A 51213-2024")</f>
        <v/>
      </c>
    </row>
    <row r="1035" ht="15" customHeight="1">
      <c r="A1035" t="inlineStr">
        <is>
          <t>A 50960-2024</t>
        </is>
      </c>
      <c r="B1035" s="1" t="n">
        <v>45603</v>
      </c>
      <c r="C1035" s="1" t="n">
        <v>45706</v>
      </c>
      <c r="D1035" t="inlineStr">
        <is>
          <t>DALARNAS LÄN</t>
        </is>
      </c>
      <c r="E1035" t="inlineStr">
        <is>
          <t>FALUN</t>
        </is>
      </c>
      <c r="G1035" t="n">
        <v>4.1</v>
      </c>
      <c r="H1035" t="n">
        <v>1</v>
      </c>
      <c r="I1035" t="n">
        <v>0</v>
      </c>
      <c r="J1035" t="n">
        <v>0</v>
      </c>
      <c r="K1035" t="n">
        <v>0</v>
      </c>
      <c r="L1035" t="n">
        <v>0</v>
      </c>
      <c r="M1035" t="n">
        <v>0</v>
      </c>
      <c r="N1035" t="n">
        <v>0</v>
      </c>
      <c r="O1035" t="n">
        <v>0</v>
      </c>
      <c r="P1035" t="n">
        <v>0</v>
      </c>
      <c r="Q1035" t="n">
        <v>1</v>
      </c>
      <c r="R1035" s="2" t="inlineStr">
        <is>
          <t>Tjäder</t>
        </is>
      </c>
      <c r="S1035">
        <f>HYPERLINK("https://klasma.github.io/Logging_2080/artfynd/A 50960-2024 artfynd.xlsx", "A 50960-2024")</f>
        <v/>
      </c>
      <c r="T1035">
        <f>HYPERLINK("https://klasma.github.io/Logging_2080/kartor/A 50960-2024 karta.png", "A 50960-2024")</f>
        <v/>
      </c>
      <c r="V1035">
        <f>HYPERLINK("https://klasma.github.io/Logging_2080/klagomål/A 50960-2024 FSC-klagomål.docx", "A 50960-2024")</f>
        <v/>
      </c>
      <c r="W1035">
        <f>HYPERLINK("https://klasma.github.io/Logging_2080/klagomålsmail/A 50960-2024 FSC-klagomål mail.docx", "A 50960-2024")</f>
        <v/>
      </c>
      <c r="X1035">
        <f>HYPERLINK("https://klasma.github.io/Logging_2080/tillsyn/A 50960-2024 tillsynsbegäran.docx", "A 50960-2024")</f>
        <v/>
      </c>
      <c r="Y1035">
        <f>HYPERLINK("https://klasma.github.io/Logging_2080/tillsynsmail/A 50960-2024 tillsynsbegäran mail.docx", "A 50960-2024")</f>
        <v/>
      </c>
      <c r="Z1035">
        <f>HYPERLINK("https://klasma.github.io/Logging_2080/fåglar/A 50960-2024 prioriterade fågelarter.docx", "A 50960-2024")</f>
        <v/>
      </c>
    </row>
    <row r="1036" ht="15" customHeight="1">
      <c r="A1036" t="inlineStr">
        <is>
          <t>A 52242-2024</t>
        </is>
      </c>
      <c r="B1036" s="1" t="n">
        <v>45607</v>
      </c>
      <c r="C1036" s="1" t="n">
        <v>45706</v>
      </c>
      <c r="D1036" t="inlineStr">
        <is>
          <t>DALARNAS LÄN</t>
        </is>
      </c>
      <c r="E1036" t="inlineStr">
        <is>
          <t>SMEDJEBACKEN</t>
        </is>
      </c>
      <c r="F1036" t="inlineStr">
        <is>
          <t>Bergvik skog väst AB</t>
        </is>
      </c>
      <c r="G1036" t="n">
        <v>26.2</v>
      </c>
      <c r="H1036" t="n">
        <v>1</v>
      </c>
      <c r="I1036" t="n">
        <v>0</v>
      </c>
      <c r="J1036" t="n">
        <v>1</v>
      </c>
      <c r="K1036" t="n">
        <v>0</v>
      </c>
      <c r="L1036" t="n">
        <v>0</v>
      </c>
      <c r="M1036" t="n">
        <v>0</v>
      </c>
      <c r="N1036" t="n">
        <v>0</v>
      </c>
      <c r="O1036" t="n">
        <v>1</v>
      </c>
      <c r="P1036" t="n">
        <v>0</v>
      </c>
      <c r="Q1036" t="n">
        <v>1</v>
      </c>
      <c r="R1036" s="2" t="inlineStr">
        <is>
          <t>Havsörn</t>
        </is>
      </c>
      <c r="S1036">
        <f>HYPERLINK("https://klasma.github.io/Logging_2061/artfynd/A 52242-2024 artfynd.xlsx", "A 52242-2024")</f>
        <v/>
      </c>
      <c r="T1036">
        <f>HYPERLINK("https://klasma.github.io/Logging_2061/kartor/A 52242-2024 karta.png", "A 52242-2024")</f>
        <v/>
      </c>
      <c r="V1036">
        <f>HYPERLINK("https://klasma.github.io/Logging_2061/klagomål/A 52242-2024 FSC-klagomål.docx", "A 52242-2024")</f>
        <v/>
      </c>
      <c r="W1036">
        <f>HYPERLINK("https://klasma.github.io/Logging_2061/klagomålsmail/A 52242-2024 FSC-klagomål mail.docx", "A 52242-2024")</f>
        <v/>
      </c>
      <c r="X1036">
        <f>HYPERLINK("https://klasma.github.io/Logging_2061/tillsyn/A 52242-2024 tillsynsbegäran.docx", "A 52242-2024")</f>
        <v/>
      </c>
      <c r="Y1036">
        <f>HYPERLINK("https://klasma.github.io/Logging_2061/tillsynsmail/A 52242-2024 tillsynsbegäran mail.docx", "A 52242-2024")</f>
        <v/>
      </c>
      <c r="Z1036">
        <f>HYPERLINK("https://klasma.github.io/Logging_2061/fåglar/A 52242-2024 prioriterade fågelarter.docx", "A 52242-2024")</f>
        <v/>
      </c>
    </row>
    <row r="1037" ht="15" customHeight="1">
      <c r="A1037" t="inlineStr">
        <is>
          <t>A 52600-2024</t>
        </is>
      </c>
      <c r="B1037" s="1" t="n">
        <v>45609</v>
      </c>
      <c r="C1037" s="1" t="n">
        <v>45706</v>
      </c>
      <c r="D1037" t="inlineStr">
        <is>
          <t>DALARNAS LÄN</t>
        </is>
      </c>
      <c r="E1037" t="inlineStr">
        <is>
          <t>LEKSAND</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HYPERLINK("https://klasma.github.io/Logging_2029/artfynd/A 52600-2024 artfynd.xlsx", "A 52600-2024")</f>
        <v/>
      </c>
      <c r="T1037">
        <f>HYPERLINK("https://klasma.github.io/Logging_2029/kartor/A 52600-2024 karta.png", "A 52600-2024")</f>
        <v/>
      </c>
      <c r="V1037">
        <f>HYPERLINK("https://klasma.github.io/Logging_2029/klagomål/A 52600-2024 FSC-klagomål.docx", "A 52600-2024")</f>
        <v/>
      </c>
      <c r="W1037">
        <f>HYPERLINK("https://klasma.github.io/Logging_2029/klagomålsmail/A 52600-2024 FSC-klagomål mail.docx", "A 52600-2024")</f>
        <v/>
      </c>
      <c r="X1037">
        <f>HYPERLINK("https://klasma.github.io/Logging_2029/tillsyn/A 52600-2024 tillsynsbegäran.docx", "A 52600-2024")</f>
        <v/>
      </c>
      <c r="Y1037">
        <f>HYPERLINK("https://klasma.github.io/Logging_2029/tillsynsmail/A 52600-2024 tillsynsbegäran mail.docx", "A 52600-2024")</f>
        <v/>
      </c>
    </row>
    <row r="1038" ht="15" customHeight="1">
      <c r="A1038" t="inlineStr">
        <is>
          <t>A 52601-2024</t>
        </is>
      </c>
      <c r="B1038" s="1" t="n">
        <v>45609</v>
      </c>
      <c r="C1038" s="1" t="n">
        <v>45706</v>
      </c>
      <c r="D1038" t="inlineStr">
        <is>
          <t>DALARNAS LÄN</t>
        </is>
      </c>
      <c r="E1038" t="inlineStr">
        <is>
          <t>SMEDJEBACKEN</t>
        </is>
      </c>
      <c r="F1038" t="inlineStr">
        <is>
          <t>Bergvik skog väst AB</t>
        </is>
      </c>
      <c r="G1038" t="n">
        <v>47.9</v>
      </c>
      <c r="H1038" t="n">
        <v>0</v>
      </c>
      <c r="I1038" t="n">
        <v>0</v>
      </c>
      <c r="J1038" t="n">
        <v>1</v>
      </c>
      <c r="K1038" t="n">
        <v>0</v>
      </c>
      <c r="L1038" t="n">
        <v>0</v>
      </c>
      <c r="M1038" t="n">
        <v>0</v>
      </c>
      <c r="N1038" t="n">
        <v>0</v>
      </c>
      <c r="O1038" t="n">
        <v>1</v>
      </c>
      <c r="P1038" t="n">
        <v>0</v>
      </c>
      <c r="Q1038" t="n">
        <v>1</v>
      </c>
      <c r="R1038" s="2" t="inlineStr">
        <is>
          <t>Tallticka</t>
        </is>
      </c>
      <c r="S1038">
        <f>HYPERLINK("https://klasma.github.io/Logging_2061/artfynd/A 52601-2024 artfynd.xlsx", "A 52601-2024")</f>
        <v/>
      </c>
      <c r="T1038">
        <f>HYPERLINK("https://klasma.github.io/Logging_2061/kartor/A 52601-2024 karta.png", "A 52601-2024")</f>
        <v/>
      </c>
      <c r="U1038">
        <f>HYPERLINK("https://klasma.github.io/Logging_2061/knärot/A 52601-2024 karta knärot.png", "A 52601-2024")</f>
        <v/>
      </c>
      <c r="V1038">
        <f>HYPERLINK("https://klasma.github.io/Logging_2061/klagomål/A 52601-2024 FSC-klagomål.docx", "A 52601-2024")</f>
        <v/>
      </c>
      <c r="W1038">
        <f>HYPERLINK("https://klasma.github.io/Logging_2061/klagomålsmail/A 52601-2024 FSC-klagomål mail.docx", "A 52601-2024")</f>
        <v/>
      </c>
      <c r="X1038">
        <f>HYPERLINK("https://klasma.github.io/Logging_2061/tillsyn/A 52601-2024 tillsynsbegäran.docx", "A 52601-2024")</f>
        <v/>
      </c>
      <c r="Y1038">
        <f>HYPERLINK("https://klasma.github.io/Logging_2061/tillsynsmail/A 52601-2024 tillsynsbegäran mail.docx", "A 52601-2024")</f>
        <v/>
      </c>
    </row>
    <row r="1039" ht="15" customHeight="1">
      <c r="A1039" t="inlineStr">
        <is>
          <t>A 52941-2024</t>
        </is>
      </c>
      <c r="B1039" s="1" t="n">
        <v>45610</v>
      </c>
      <c r="C1039" s="1" t="n">
        <v>45706</v>
      </c>
      <c r="D1039" t="inlineStr">
        <is>
          <t>DALARNAS LÄN</t>
        </is>
      </c>
      <c r="E1039" t="inlineStr">
        <is>
          <t>HEDEMORA</t>
        </is>
      </c>
      <c r="F1039" t="inlineStr">
        <is>
          <t>Sveaskog</t>
        </is>
      </c>
      <c r="G1039" t="n">
        <v>18.3</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52941-2024 artfynd.xlsx", "A 52941-2024")</f>
        <v/>
      </c>
      <c r="T1039">
        <f>HYPERLINK("https://klasma.github.io/Logging_2083/kartor/A 52941-2024 karta.png", "A 52941-2024")</f>
        <v/>
      </c>
      <c r="U1039">
        <f>HYPERLINK("https://klasma.github.io/Logging_2083/knärot/A 52941-2024 karta knärot.png", "A 52941-2024")</f>
        <v/>
      </c>
      <c r="V1039">
        <f>HYPERLINK("https://klasma.github.io/Logging_2083/klagomål/A 52941-2024 FSC-klagomål.docx", "A 52941-2024")</f>
        <v/>
      </c>
      <c r="W1039">
        <f>HYPERLINK("https://klasma.github.io/Logging_2083/klagomålsmail/A 52941-2024 FSC-klagomål mail.docx", "A 52941-2024")</f>
        <v/>
      </c>
      <c r="X1039">
        <f>HYPERLINK("https://klasma.github.io/Logging_2083/tillsyn/A 52941-2024 tillsynsbegäran.docx", "A 52941-2024")</f>
        <v/>
      </c>
      <c r="Y1039">
        <f>HYPERLINK("https://klasma.github.io/Logging_2083/tillsynsmail/A 52941-2024 tillsynsbegäran mail.docx", "A 52941-2024")</f>
        <v/>
      </c>
    </row>
    <row r="1040" ht="15" customHeight="1">
      <c r="A1040" t="inlineStr">
        <is>
          <t>A 53502-2024</t>
        </is>
      </c>
      <c r="B1040" s="1" t="n">
        <v>45614</v>
      </c>
      <c r="C1040" s="1" t="n">
        <v>45706</v>
      </c>
      <c r="D1040" t="inlineStr">
        <is>
          <t>DALARNAS LÄN</t>
        </is>
      </c>
      <c r="E1040" t="inlineStr">
        <is>
          <t>LUDVIKA</t>
        </is>
      </c>
      <c r="F1040" t="inlineStr">
        <is>
          <t>Bergvik skog väst AB</t>
        </is>
      </c>
      <c r="G1040" t="n">
        <v>4.7</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53502-2024 artfynd.xlsx", "A 53502-2024")</f>
        <v/>
      </c>
      <c r="T1040">
        <f>HYPERLINK("https://klasma.github.io/Logging_2085/kartor/A 53502-2024 karta.png", "A 53502-2024")</f>
        <v/>
      </c>
      <c r="U1040">
        <f>HYPERLINK("https://klasma.github.io/Logging_2085/knärot/A 53502-2024 karta knärot.png", "A 53502-2024")</f>
        <v/>
      </c>
      <c r="V1040">
        <f>HYPERLINK("https://klasma.github.io/Logging_2085/klagomål/A 53502-2024 FSC-klagomål.docx", "A 53502-2024")</f>
        <v/>
      </c>
      <c r="W1040">
        <f>HYPERLINK("https://klasma.github.io/Logging_2085/klagomålsmail/A 53502-2024 FSC-klagomål mail.docx", "A 53502-2024")</f>
        <v/>
      </c>
      <c r="X1040">
        <f>HYPERLINK("https://klasma.github.io/Logging_2085/tillsyn/A 53502-2024 tillsynsbegäran.docx", "A 53502-2024")</f>
        <v/>
      </c>
      <c r="Y1040">
        <f>HYPERLINK("https://klasma.github.io/Logging_2085/tillsynsmail/A 53502-2024 tillsynsbegäran mail.docx", "A 53502-2024")</f>
        <v/>
      </c>
    </row>
    <row r="1041" ht="15" customHeight="1">
      <c r="A1041" t="inlineStr">
        <is>
          <t>A 53924-2024</t>
        </is>
      </c>
      <c r="B1041" s="1" t="n">
        <v>45615</v>
      </c>
      <c r="C1041" s="1" t="n">
        <v>45706</v>
      </c>
      <c r="D1041" t="inlineStr">
        <is>
          <t>DALARNAS LÄN</t>
        </is>
      </c>
      <c r="E1041" t="inlineStr">
        <is>
          <t>HEDEMORA</t>
        </is>
      </c>
      <c r="F1041" t="inlineStr">
        <is>
          <t>Sveaskog</t>
        </is>
      </c>
      <c r="G1041" t="n">
        <v>3.8</v>
      </c>
      <c r="H1041" t="n">
        <v>1</v>
      </c>
      <c r="I1041" t="n">
        <v>1</v>
      </c>
      <c r="J1041" t="n">
        <v>0</v>
      </c>
      <c r="K1041" t="n">
        <v>0</v>
      </c>
      <c r="L1041" t="n">
        <v>0</v>
      </c>
      <c r="M1041" t="n">
        <v>0</v>
      </c>
      <c r="N1041" t="n">
        <v>0</v>
      </c>
      <c r="O1041" t="n">
        <v>0</v>
      </c>
      <c r="P1041" t="n">
        <v>0</v>
      </c>
      <c r="Q1041" t="n">
        <v>1</v>
      </c>
      <c r="R1041" s="2" t="inlineStr">
        <is>
          <t>Plattlummer</t>
        </is>
      </c>
      <c r="S1041">
        <f>HYPERLINK("https://klasma.github.io/Logging_2083/artfynd/A 53924-2024 artfynd.xlsx", "A 53924-2024")</f>
        <v/>
      </c>
      <c r="T1041">
        <f>HYPERLINK("https://klasma.github.io/Logging_2083/kartor/A 53924-2024 karta.png", "A 53924-2024")</f>
        <v/>
      </c>
      <c r="V1041">
        <f>HYPERLINK("https://klasma.github.io/Logging_2083/klagomål/A 53924-2024 FSC-klagomål.docx", "A 53924-2024")</f>
        <v/>
      </c>
      <c r="W1041">
        <f>HYPERLINK("https://klasma.github.io/Logging_2083/klagomålsmail/A 53924-2024 FSC-klagomål mail.docx", "A 53924-2024")</f>
        <v/>
      </c>
      <c r="X1041">
        <f>HYPERLINK("https://klasma.github.io/Logging_2083/tillsyn/A 53924-2024 tillsynsbegäran.docx", "A 53924-2024")</f>
        <v/>
      </c>
      <c r="Y1041">
        <f>HYPERLINK("https://klasma.github.io/Logging_2083/tillsynsmail/A 53924-2024 tillsynsbegäran mail.docx", "A 53924-2024")</f>
        <v/>
      </c>
    </row>
    <row r="1042" ht="15" customHeight="1">
      <c r="A1042" t="inlineStr">
        <is>
          <t>A 55243-2024</t>
        </is>
      </c>
      <c r="B1042" s="1" t="n">
        <v>45621</v>
      </c>
      <c r="C1042" s="1" t="n">
        <v>45706</v>
      </c>
      <c r="D1042" t="inlineStr">
        <is>
          <t>DALARNAS LÄN</t>
        </is>
      </c>
      <c r="E1042" t="inlineStr">
        <is>
          <t>VANSBRO</t>
        </is>
      </c>
      <c r="F1042" t="inlineStr">
        <is>
          <t>Bergvik skog väst AB</t>
        </is>
      </c>
      <c r="G1042" t="n">
        <v>1.1</v>
      </c>
      <c r="H1042" t="n">
        <v>1</v>
      </c>
      <c r="I1042" t="n">
        <v>0</v>
      </c>
      <c r="J1042" t="n">
        <v>0</v>
      </c>
      <c r="K1042" t="n">
        <v>0</v>
      </c>
      <c r="L1042" t="n">
        <v>0</v>
      </c>
      <c r="M1042" t="n">
        <v>0</v>
      </c>
      <c r="N1042" t="n">
        <v>0</v>
      </c>
      <c r="O1042" t="n">
        <v>0</v>
      </c>
      <c r="P1042" t="n">
        <v>0</v>
      </c>
      <c r="Q1042" t="n">
        <v>1</v>
      </c>
      <c r="R1042" s="2" t="inlineStr">
        <is>
          <t>Mattlummer</t>
        </is>
      </c>
      <c r="S1042">
        <f>HYPERLINK("https://klasma.github.io/Logging_2021/artfynd/A 55243-2024 artfynd.xlsx", "A 55243-2024")</f>
        <v/>
      </c>
      <c r="T1042">
        <f>HYPERLINK("https://klasma.github.io/Logging_2021/kartor/A 55243-2024 karta.png", "A 55243-2024")</f>
        <v/>
      </c>
      <c r="V1042">
        <f>HYPERLINK("https://klasma.github.io/Logging_2021/klagomål/A 55243-2024 FSC-klagomål.docx", "A 55243-2024")</f>
        <v/>
      </c>
      <c r="W1042">
        <f>HYPERLINK("https://klasma.github.io/Logging_2021/klagomålsmail/A 55243-2024 FSC-klagomål mail.docx", "A 55243-2024")</f>
        <v/>
      </c>
      <c r="X1042">
        <f>HYPERLINK("https://klasma.github.io/Logging_2021/tillsyn/A 55243-2024 tillsynsbegäran.docx", "A 55243-2024")</f>
        <v/>
      </c>
      <c r="Y1042">
        <f>HYPERLINK("https://klasma.github.io/Logging_2021/tillsynsmail/A 55243-2024 tillsynsbegäran mail.docx", "A 55243-2024")</f>
        <v/>
      </c>
    </row>
    <row r="1043" ht="15" customHeight="1">
      <c r="A1043" t="inlineStr">
        <is>
          <t>A 55633-2024</t>
        </is>
      </c>
      <c r="B1043" s="1" t="n">
        <v>45621</v>
      </c>
      <c r="C1043" s="1" t="n">
        <v>45706</v>
      </c>
      <c r="D1043" t="inlineStr">
        <is>
          <t>DALARNAS LÄN</t>
        </is>
      </c>
      <c r="E1043" t="inlineStr">
        <is>
          <t>LEKSAND</t>
        </is>
      </c>
      <c r="G1043" t="n">
        <v>7.8</v>
      </c>
      <c r="H1043" t="n">
        <v>0</v>
      </c>
      <c r="I1043" t="n">
        <v>0</v>
      </c>
      <c r="J1043" t="n">
        <v>1</v>
      </c>
      <c r="K1043" t="n">
        <v>0</v>
      </c>
      <c r="L1043" t="n">
        <v>0</v>
      </c>
      <c r="M1043" t="n">
        <v>0</v>
      </c>
      <c r="N1043" t="n">
        <v>0</v>
      </c>
      <c r="O1043" t="n">
        <v>1</v>
      </c>
      <c r="P1043" t="n">
        <v>0</v>
      </c>
      <c r="Q1043" t="n">
        <v>1</v>
      </c>
      <c r="R1043" s="2" t="inlineStr">
        <is>
          <t>Ullticka</t>
        </is>
      </c>
      <c r="S1043">
        <f>HYPERLINK("https://klasma.github.io/Logging_2029/artfynd/A 55633-2024 artfynd.xlsx", "A 55633-2024")</f>
        <v/>
      </c>
      <c r="T1043">
        <f>HYPERLINK("https://klasma.github.io/Logging_2029/kartor/A 55633-2024 karta.png", "A 55633-2024")</f>
        <v/>
      </c>
      <c r="V1043">
        <f>HYPERLINK("https://klasma.github.io/Logging_2029/klagomål/A 55633-2024 FSC-klagomål.docx", "A 55633-2024")</f>
        <v/>
      </c>
      <c r="W1043">
        <f>HYPERLINK("https://klasma.github.io/Logging_2029/klagomålsmail/A 55633-2024 FSC-klagomål mail.docx", "A 55633-2024")</f>
        <v/>
      </c>
      <c r="X1043">
        <f>HYPERLINK("https://klasma.github.io/Logging_2029/tillsyn/A 55633-2024 tillsynsbegäran.docx", "A 55633-2024")</f>
        <v/>
      </c>
      <c r="Y1043">
        <f>HYPERLINK("https://klasma.github.io/Logging_2029/tillsynsmail/A 55633-2024 tillsynsbegäran mail.docx", "A 55633-2024")</f>
        <v/>
      </c>
    </row>
    <row r="1044" ht="15" customHeight="1">
      <c r="A1044" t="inlineStr">
        <is>
          <t>A 55812-2024</t>
        </is>
      </c>
      <c r="B1044" s="1" t="n">
        <v>45623</v>
      </c>
      <c r="C1044" s="1" t="n">
        <v>45706</v>
      </c>
      <c r="D1044" t="inlineStr">
        <is>
          <t>DALARNAS LÄN</t>
        </is>
      </c>
      <c r="E1044" t="inlineStr">
        <is>
          <t>GAGNEF</t>
        </is>
      </c>
      <c r="G1044" t="n">
        <v>11.3</v>
      </c>
      <c r="H1044" t="n">
        <v>0</v>
      </c>
      <c r="I1044" t="n">
        <v>0</v>
      </c>
      <c r="J1044" t="n">
        <v>1</v>
      </c>
      <c r="K1044" t="n">
        <v>0</v>
      </c>
      <c r="L1044" t="n">
        <v>0</v>
      </c>
      <c r="M1044" t="n">
        <v>0</v>
      </c>
      <c r="N1044" t="n">
        <v>0</v>
      </c>
      <c r="O1044" t="n">
        <v>1</v>
      </c>
      <c r="P1044" t="n">
        <v>0</v>
      </c>
      <c r="Q1044" t="n">
        <v>1</v>
      </c>
      <c r="R1044" s="2" t="inlineStr">
        <is>
          <t>Ullticka</t>
        </is>
      </c>
      <c r="S1044">
        <f>HYPERLINK("https://klasma.github.io/Logging_2026/artfynd/A 55812-2024 artfynd.xlsx", "A 55812-2024")</f>
        <v/>
      </c>
      <c r="T1044">
        <f>HYPERLINK("https://klasma.github.io/Logging_2026/kartor/A 55812-2024 karta.png", "A 55812-2024")</f>
        <v/>
      </c>
      <c r="V1044">
        <f>HYPERLINK("https://klasma.github.io/Logging_2026/klagomål/A 55812-2024 FSC-klagomål.docx", "A 55812-2024")</f>
        <v/>
      </c>
      <c r="W1044">
        <f>HYPERLINK("https://klasma.github.io/Logging_2026/klagomålsmail/A 55812-2024 FSC-klagomål mail.docx", "A 55812-2024")</f>
        <v/>
      </c>
      <c r="X1044">
        <f>HYPERLINK("https://klasma.github.io/Logging_2026/tillsyn/A 55812-2024 tillsynsbegäran.docx", "A 55812-2024")</f>
        <v/>
      </c>
      <c r="Y1044">
        <f>HYPERLINK("https://klasma.github.io/Logging_2026/tillsynsmail/A 55812-2024 tillsynsbegäran mail.docx", "A 55812-2024")</f>
        <v/>
      </c>
    </row>
    <row r="1045" ht="15" customHeight="1">
      <c r="A1045" t="inlineStr">
        <is>
          <t>A 55914-2024</t>
        </is>
      </c>
      <c r="B1045" s="1" t="n">
        <v>45623</v>
      </c>
      <c r="C1045" s="1" t="n">
        <v>45706</v>
      </c>
      <c r="D1045" t="inlineStr">
        <is>
          <t>DALARNAS LÄN</t>
        </is>
      </c>
      <c r="E1045" t="inlineStr">
        <is>
          <t>MALUNG-SÄLEN</t>
        </is>
      </c>
      <c r="G1045" t="n">
        <v>1.3</v>
      </c>
      <c r="H1045" t="n">
        <v>0</v>
      </c>
      <c r="I1045" t="n">
        <v>0</v>
      </c>
      <c r="J1045" t="n">
        <v>1</v>
      </c>
      <c r="K1045" t="n">
        <v>0</v>
      </c>
      <c r="L1045" t="n">
        <v>0</v>
      </c>
      <c r="M1045" t="n">
        <v>0</v>
      </c>
      <c r="N1045" t="n">
        <v>0</v>
      </c>
      <c r="O1045" t="n">
        <v>1</v>
      </c>
      <c r="P1045" t="n">
        <v>0</v>
      </c>
      <c r="Q1045" t="n">
        <v>1</v>
      </c>
      <c r="R1045" s="2" t="inlineStr">
        <is>
          <t>Lunglav</t>
        </is>
      </c>
      <c r="S1045">
        <f>HYPERLINK("https://klasma.github.io/Logging_2023/artfynd/A 55914-2024 artfynd.xlsx", "A 55914-2024")</f>
        <v/>
      </c>
      <c r="T1045">
        <f>HYPERLINK("https://klasma.github.io/Logging_2023/kartor/A 55914-2024 karta.png", "A 55914-2024")</f>
        <v/>
      </c>
      <c r="V1045">
        <f>HYPERLINK("https://klasma.github.io/Logging_2023/klagomål/A 55914-2024 FSC-klagomål.docx", "A 55914-2024")</f>
        <v/>
      </c>
      <c r="W1045">
        <f>HYPERLINK("https://klasma.github.io/Logging_2023/klagomålsmail/A 55914-2024 FSC-klagomål mail.docx", "A 55914-2024")</f>
        <v/>
      </c>
      <c r="X1045">
        <f>HYPERLINK("https://klasma.github.io/Logging_2023/tillsyn/A 55914-2024 tillsynsbegäran.docx", "A 55914-2024")</f>
        <v/>
      </c>
      <c r="Y1045">
        <f>HYPERLINK("https://klasma.github.io/Logging_2023/tillsynsmail/A 55914-2024 tillsynsbegäran mail.docx", "A 55914-2024")</f>
        <v/>
      </c>
    </row>
    <row r="1046" ht="15" customHeight="1">
      <c r="A1046" t="inlineStr">
        <is>
          <t>A 56138-2024</t>
        </is>
      </c>
      <c r="B1046" s="1" t="n">
        <v>45624</v>
      </c>
      <c r="C1046" s="1" t="n">
        <v>45706</v>
      </c>
      <c r="D1046" t="inlineStr">
        <is>
          <t>DALARNAS LÄN</t>
        </is>
      </c>
      <c r="E1046" t="inlineStr">
        <is>
          <t>FALUN</t>
        </is>
      </c>
      <c r="G1046" t="n">
        <v>0.8</v>
      </c>
      <c r="H1046" t="n">
        <v>0</v>
      </c>
      <c r="I1046" t="n">
        <v>0</v>
      </c>
      <c r="J1046" t="n">
        <v>0</v>
      </c>
      <c r="K1046" t="n">
        <v>0</v>
      </c>
      <c r="L1046" t="n">
        <v>0</v>
      </c>
      <c r="M1046" t="n">
        <v>1</v>
      </c>
      <c r="N1046" t="n">
        <v>0</v>
      </c>
      <c r="O1046" t="n">
        <v>1</v>
      </c>
      <c r="P1046" t="n">
        <v>1</v>
      </c>
      <c r="Q1046" t="n">
        <v>1</v>
      </c>
      <c r="R1046" s="2" t="inlineStr">
        <is>
          <t>Citronporing</t>
        </is>
      </c>
      <c r="S1046">
        <f>HYPERLINK("https://klasma.github.io/Logging_2080/artfynd/A 56138-2024 artfynd.xlsx", "A 56138-2024")</f>
        <v/>
      </c>
      <c r="T1046">
        <f>HYPERLINK("https://klasma.github.io/Logging_2080/kartor/A 56138-2024 karta.png", "A 56138-2024")</f>
        <v/>
      </c>
      <c r="V1046">
        <f>HYPERLINK("https://klasma.github.io/Logging_2080/klagomål/A 56138-2024 FSC-klagomål.docx", "A 56138-2024")</f>
        <v/>
      </c>
      <c r="W1046">
        <f>HYPERLINK("https://klasma.github.io/Logging_2080/klagomålsmail/A 56138-2024 FSC-klagomål mail.docx", "A 56138-2024")</f>
        <v/>
      </c>
      <c r="X1046">
        <f>HYPERLINK("https://klasma.github.io/Logging_2080/tillsyn/A 56138-2024 tillsynsbegäran.docx", "A 56138-2024")</f>
        <v/>
      </c>
      <c r="Y1046">
        <f>HYPERLINK("https://klasma.github.io/Logging_2080/tillsynsmail/A 56138-2024 tillsynsbegäran mail.docx", "A 56138-2024")</f>
        <v/>
      </c>
    </row>
    <row r="1047" ht="15" customHeight="1">
      <c r="A1047" t="inlineStr">
        <is>
          <t>A 56786-2024</t>
        </is>
      </c>
      <c r="B1047" s="1" t="n">
        <v>45628</v>
      </c>
      <c r="C1047" s="1" t="n">
        <v>45706</v>
      </c>
      <c r="D1047" t="inlineStr">
        <is>
          <t>DALARNAS LÄN</t>
        </is>
      </c>
      <c r="E1047" t="inlineStr">
        <is>
          <t>AVESTA</t>
        </is>
      </c>
      <c r="G1047" t="n">
        <v>4.7</v>
      </c>
      <c r="H1047" t="n">
        <v>1</v>
      </c>
      <c r="I1047" t="n">
        <v>0</v>
      </c>
      <c r="J1047" t="n">
        <v>0</v>
      </c>
      <c r="K1047" t="n">
        <v>1</v>
      </c>
      <c r="L1047" t="n">
        <v>0</v>
      </c>
      <c r="M1047" t="n">
        <v>0</v>
      </c>
      <c r="N1047" t="n">
        <v>0</v>
      </c>
      <c r="O1047" t="n">
        <v>1</v>
      </c>
      <c r="P1047" t="n">
        <v>1</v>
      </c>
      <c r="Q1047" t="n">
        <v>1</v>
      </c>
      <c r="R1047" s="2" t="inlineStr">
        <is>
          <t>Knärot</t>
        </is>
      </c>
      <c r="S1047">
        <f>HYPERLINK("https://klasma.github.io/Logging_2084/artfynd/A 56786-2024 artfynd.xlsx", "A 56786-2024")</f>
        <v/>
      </c>
      <c r="T1047">
        <f>HYPERLINK("https://klasma.github.io/Logging_2084/kartor/A 56786-2024 karta.png", "A 56786-2024")</f>
        <v/>
      </c>
      <c r="U1047">
        <f>HYPERLINK("https://klasma.github.io/Logging_2084/knärot/A 56786-2024 karta knärot.png", "A 56786-2024")</f>
        <v/>
      </c>
      <c r="V1047">
        <f>HYPERLINK("https://klasma.github.io/Logging_2084/klagomål/A 56786-2024 FSC-klagomål.docx", "A 56786-2024")</f>
        <v/>
      </c>
      <c r="W1047">
        <f>HYPERLINK("https://klasma.github.io/Logging_2084/klagomålsmail/A 56786-2024 FSC-klagomål mail.docx", "A 56786-2024")</f>
        <v/>
      </c>
      <c r="X1047">
        <f>HYPERLINK("https://klasma.github.io/Logging_2084/tillsyn/A 56786-2024 tillsynsbegäran.docx", "A 56786-2024")</f>
        <v/>
      </c>
      <c r="Y1047">
        <f>HYPERLINK("https://klasma.github.io/Logging_2084/tillsynsmail/A 56786-2024 tillsynsbegäran mail.docx", "A 56786-2024")</f>
        <v/>
      </c>
    </row>
    <row r="1048" ht="15" customHeight="1">
      <c r="A1048" t="inlineStr">
        <is>
          <t>A 59185-2024</t>
        </is>
      </c>
      <c r="B1048" s="1" t="n">
        <v>45637</v>
      </c>
      <c r="C1048" s="1" t="n">
        <v>45706</v>
      </c>
      <c r="D1048" t="inlineStr">
        <is>
          <t>DALARNAS LÄN</t>
        </is>
      </c>
      <c r="E1048" t="inlineStr">
        <is>
          <t>BORLÄNGE</t>
        </is>
      </c>
      <c r="F1048" t="inlineStr">
        <is>
          <t>Bergvik skog väst AB</t>
        </is>
      </c>
      <c r="G1048" t="n">
        <v>3.4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HYPERLINK("https://klasma.github.io/Logging_2081/artfynd/A 59185-2024 artfynd.xlsx", "A 59185-2024")</f>
        <v/>
      </c>
      <c r="T1048">
        <f>HYPERLINK("https://klasma.github.io/Logging_2081/kartor/A 59185-2024 karta.png", "A 59185-2024")</f>
        <v/>
      </c>
      <c r="V1048">
        <f>HYPERLINK("https://klasma.github.io/Logging_2081/klagomål/A 59185-2024 FSC-klagomål.docx", "A 59185-2024")</f>
        <v/>
      </c>
      <c r="W1048">
        <f>HYPERLINK("https://klasma.github.io/Logging_2081/klagomålsmail/A 59185-2024 FSC-klagomål mail.docx", "A 59185-2024")</f>
        <v/>
      </c>
      <c r="X1048">
        <f>HYPERLINK("https://klasma.github.io/Logging_2081/tillsyn/A 59185-2024 tillsynsbegäran.docx", "A 59185-2024")</f>
        <v/>
      </c>
      <c r="Y1048">
        <f>HYPERLINK("https://klasma.github.io/Logging_2081/tillsynsmail/A 59185-2024 tillsynsbegäran mail.docx", "A 59185-2024")</f>
        <v/>
      </c>
    </row>
    <row r="1049" ht="15" customHeight="1">
      <c r="A1049" t="inlineStr">
        <is>
          <t>A 59184-2024</t>
        </is>
      </c>
      <c r="B1049" s="1" t="n">
        <v>45637</v>
      </c>
      <c r="C1049" s="1" t="n">
        <v>45706</v>
      </c>
      <c r="D1049" t="inlineStr">
        <is>
          <t>DALARNAS LÄN</t>
        </is>
      </c>
      <c r="E1049" t="inlineStr">
        <is>
          <t>BORLÄNGE</t>
        </is>
      </c>
      <c r="F1049" t="inlineStr">
        <is>
          <t>Bergvik skog väst AB</t>
        </is>
      </c>
      <c r="G1049" t="n">
        <v>4.2</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59184-2024 artfynd.xlsx", "A 59184-2024")</f>
        <v/>
      </c>
      <c r="T1049">
        <f>HYPERLINK("https://klasma.github.io/Logging_2081/kartor/A 59184-2024 karta.png", "A 59184-2024")</f>
        <v/>
      </c>
      <c r="V1049">
        <f>HYPERLINK("https://klasma.github.io/Logging_2081/klagomål/A 59184-2024 FSC-klagomål.docx", "A 59184-2024")</f>
        <v/>
      </c>
      <c r="W1049">
        <f>HYPERLINK("https://klasma.github.io/Logging_2081/klagomålsmail/A 59184-2024 FSC-klagomål mail.docx", "A 59184-2024")</f>
        <v/>
      </c>
      <c r="X1049">
        <f>HYPERLINK("https://klasma.github.io/Logging_2081/tillsyn/A 59184-2024 tillsynsbegäran.docx", "A 59184-2024")</f>
        <v/>
      </c>
      <c r="Y1049">
        <f>HYPERLINK("https://klasma.github.io/Logging_2081/tillsynsmail/A 59184-2024 tillsynsbegäran mail.docx", "A 59184-2024")</f>
        <v/>
      </c>
    </row>
    <row r="1050" ht="15" customHeight="1">
      <c r="A1050" t="inlineStr">
        <is>
          <t>A 60017-2024</t>
        </is>
      </c>
      <c r="B1050" s="1" t="n">
        <v>45642</v>
      </c>
      <c r="C1050" s="1" t="n">
        <v>45706</v>
      </c>
      <c r="D1050" t="inlineStr">
        <is>
          <t>DALARNAS LÄN</t>
        </is>
      </c>
      <c r="E1050" t="inlineStr">
        <is>
          <t>HEDEMORA</t>
        </is>
      </c>
      <c r="F1050" t="inlineStr">
        <is>
          <t>Sveaskog</t>
        </is>
      </c>
      <c r="G1050" t="n">
        <v>0.5</v>
      </c>
      <c r="H1050" t="n">
        <v>1</v>
      </c>
      <c r="I1050" t="n">
        <v>0</v>
      </c>
      <c r="J1050" t="n">
        <v>0</v>
      </c>
      <c r="K1050" t="n">
        <v>1</v>
      </c>
      <c r="L1050" t="n">
        <v>0</v>
      </c>
      <c r="M1050" t="n">
        <v>0</v>
      </c>
      <c r="N1050" t="n">
        <v>0</v>
      </c>
      <c r="O1050" t="n">
        <v>1</v>
      </c>
      <c r="P1050" t="n">
        <v>1</v>
      </c>
      <c r="Q1050" t="n">
        <v>1</v>
      </c>
      <c r="R1050" s="2" t="inlineStr">
        <is>
          <t>Knärot</t>
        </is>
      </c>
      <c r="S1050">
        <f>HYPERLINK("https://klasma.github.io/Logging_2083/artfynd/A 60017-2024 artfynd.xlsx", "A 60017-2024")</f>
        <v/>
      </c>
      <c r="T1050">
        <f>HYPERLINK("https://klasma.github.io/Logging_2083/kartor/A 60017-2024 karta.png", "A 60017-2024")</f>
        <v/>
      </c>
      <c r="U1050">
        <f>HYPERLINK("https://klasma.github.io/Logging_2083/knärot/A 60017-2024 karta knärot.png", "A 60017-2024")</f>
        <v/>
      </c>
      <c r="V1050">
        <f>HYPERLINK("https://klasma.github.io/Logging_2083/klagomål/A 60017-2024 FSC-klagomål.docx", "A 60017-2024")</f>
        <v/>
      </c>
      <c r="W1050">
        <f>HYPERLINK("https://klasma.github.io/Logging_2083/klagomålsmail/A 60017-2024 FSC-klagomål mail.docx", "A 60017-2024")</f>
        <v/>
      </c>
      <c r="X1050">
        <f>HYPERLINK("https://klasma.github.io/Logging_2083/tillsyn/A 60017-2024 tillsynsbegäran.docx", "A 60017-2024")</f>
        <v/>
      </c>
      <c r="Y1050">
        <f>HYPERLINK("https://klasma.github.io/Logging_2083/tillsynsmail/A 60017-2024 tillsynsbegäran mail.docx", "A 60017-2024")</f>
        <v/>
      </c>
    </row>
    <row r="1051" ht="15" customHeight="1">
      <c r="A1051" t="inlineStr">
        <is>
          <t>A 61661-2024</t>
        </is>
      </c>
      <c r="B1051" s="1" t="n">
        <v>45646</v>
      </c>
      <c r="C1051" s="1" t="n">
        <v>45706</v>
      </c>
      <c r="D1051" t="inlineStr">
        <is>
          <t>DALARNAS LÄN</t>
        </is>
      </c>
      <c r="E1051" t="inlineStr">
        <is>
          <t>FALUN</t>
        </is>
      </c>
      <c r="G1051" t="n">
        <v>9.300000000000001</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HYPERLINK("https://klasma.github.io/Logging_2080/artfynd/A 61661-2024 artfynd.xlsx", "A 61661-2024")</f>
        <v/>
      </c>
      <c r="T1051">
        <f>HYPERLINK("https://klasma.github.io/Logging_2080/kartor/A 61661-2024 karta.png", "A 61661-2024")</f>
        <v/>
      </c>
      <c r="V1051">
        <f>HYPERLINK("https://klasma.github.io/Logging_2080/klagomål/A 61661-2024 FSC-klagomål.docx", "A 61661-2024")</f>
        <v/>
      </c>
      <c r="W1051">
        <f>HYPERLINK("https://klasma.github.io/Logging_2080/klagomålsmail/A 61661-2024 FSC-klagomål mail.docx", "A 61661-2024")</f>
        <v/>
      </c>
      <c r="X1051">
        <f>HYPERLINK("https://klasma.github.io/Logging_2080/tillsyn/A 61661-2024 tillsynsbegäran.docx", "A 61661-2024")</f>
        <v/>
      </c>
      <c r="Y1051">
        <f>HYPERLINK("https://klasma.github.io/Logging_2080/tillsynsmail/A 61661-2024 tillsynsbegäran mail.docx", "A 61661-2024")</f>
        <v/>
      </c>
    </row>
    <row r="1052" ht="15" customHeight="1">
      <c r="A1052" t="inlineStr">
        <is>
          <t>A 61787-2024</t>
        </is>
      </c>
      <c r="B1052" s="1" t="n">
        <v>45649</v>
      </c>
      <c r="C1052" s="1" t="n">
        <v>45706</v>
      </c>
      <c r="D1052" t="inlineStr">
        <is>
          <t>DALARNAS LÄN</t>
        </is>
      </c>
      <c r="E1052" t="inlineStr">
        <is>
          <t>GAGNEF</t>
        </is>
      </c>
      <c r="G1052" t="n">
        <v>1.6</v>
      </c>
      <c r="H1052" t="n">
        <v>0</v>
      </c>
      <c r="I1052" t="n">
        <v>0</v>
      </c>
      <c r="J1052" t="n">
        <v>1</v>
      </c>
      <c r="K1052" t="n">
        <v>0</v>
      </c>
      <c r="L1052" t="n">
        <v>0</v>
      </c>
      <c r="M1052" t="n">
        <v>0</v>
      </c>
      <c r="N1052" t="n">
        <v>0</v>
      </c>
      <c r="O1052" t="n">
        <v>1</v>
      </c>
      <c r="P1052" t="n">
        <v>0</v>
      </c>
      <c r="Q1052" t="n">
        <v>1</v>
      </c>
      <c r="R1052" s="2" t="inlineStr">
        <is>
          <t>Tallticka</t>
        </is>
      </c>
      <c r="S1052">
        <f>HYPERLINK("https://klasma.github.io/Logging_2026/artfynd/A 61787-2024 artfynd.xlsx", "A 61787-2024")</f>
        <v/>
      </c>
      <c r="T1052">
        <f>HYPERLINK("https://klasma.github.io/Logging_2026/kartor/A 61787-2024 karta.png", "A 61787-2024")</f>
        <v/>
      </c>
      <c r="V1052">
        <f>HYPERLINK("https://klasma.github.io/Logging_2026/klagomål/A 61787-2024 FSC-klagomål.docx", "A 61787-2024")</f>
        <v/>
      </c>
      <c r="W1052">
        <f>HYPERLINK("https://klasma.github.io/Logging_2026/klagomålsmail/A 61787-2024 FSC-klagomål mail.docx", "A 61787-2024")</f>
        <v/>
      </c>
      <c r="X1052">
        <f>HYPERLINK("https://klasma.github.io/Logging_2026/tillsyn/A 61787-2024 tillsynsbegäran.docx", "A 61787-2024")</f>
        <v/>
      </c>
      <c r="Y1052">
        <f>HYPERLINK("https://klasma.github.io/Logging_2026/tillsynsmail/A 61787-2024 tillsynsbegäran mail.docx", "A 61787-2024")</f>
        <v/>
      </c>
    </row>
    <row r="1053" ht="15" customHeight="1">
      <c r="A1053" t="inlineStr">
        <is>
          <t>A 61916-2024</t>
        </is>
      </c>
      <c r="B1053" s="1" t="n">
        <v>45653</v>
      </c>
      <c r="C1053" s="1" t="n">
        <v>45706</v>
      </c>
      <c r="D1053" t="inlineStr">
        <is>
          <t>DALARNAS LÄN</t>
        </is>
      </c>
      <c r="E1053" t="inlineStr">
        <is>
          <t>SMEDJEBACKEN</t>
        </is>
      </c>
      <c r="G1053" t="n">
        <v>11.1</v>
      </c>
      <c r="H1053" t="n">
        <v>1</v>
      </c>
      <c r="I1053" t="n">
        <v>0</v>
      </c>
      <c r="J1053" t="n">
        <v>0</v>
      </c>
      <c r="K1053" t="n">
        <v>0</v>
      </c>
      <c r="L1053" t="n">
        <v>0</v>
      </c>
      <c r="M1053" t="n">
        <v>0</v>
      </c>
      <c r="N1053" t="n">
        <v>0</v>
      </c>
      <c r="O1053" t="n">
        <v>0</v>
      </c>
      <c r="P1053" t="n">
        <v>0</v>
      </c>
      <c r="Q1053" t="n">
        <v>1</v>
      </c>
      <c r="R1053" s="2" t="inlineStr">
        <is>
          <t>Mattlummer</t>
        </is>
      </c>
      <c r="S1053">
        <f>HYPERLINK("https://klasma.github.io/Logging_2061/artfynd/A 61916-2024 artfynd.xlsx", "A 61916-2024")</f>
        <v/>
      </c>
      <c r="T1053">
        <f>HYPERLINK("https://klasma.github.io/Logging_2061/kartor/A 61916-2024 karta.png", "A 61916-2024")</f>
        <v/>
      </c>
      <c r="V1053">
        <f>HYPERLINK("https://klasma.github.io/Logging_2061/klagomål/A 61916-2024 FSC-klagomål.docx", "A 61916-2024")</f>
        <v/>
      </c>
      <c r="W1053">
        <f>HYPERLINK("https://klasma.github.io/Logging_2061/klagomålsmail/A 61916-2024 FSC-klagomål mail.docx", "A 61916-2024")</f>
        <v/>
      </c>
      <c r="X1053">
        <f>HYPERLINK("https://klasma.github.io/Logging_2061/tillsyn/A 61916-2024 tillsynsbegäran.docx", "A 61916-2024")</f>
        <v/>
      </c>
      <c r="Y1053">
        <f>HYPERLINK("https://klasma.github.io/Logging_2061/tillsynsmail/A 61916-2024 tillsynsbegäran mail.docx", "A 61916-2024")</f>
        <v/>
      </c>
    </row>
    <row r="1054" ht="15" customHeight="1">
      <c r="A1054" t="inlineStr">
        <is>
          <t>A 287-2025</t>
        </is>
      </c>
      <c r="B1054" s="1" t="n">
        <v>45656</v>
      </c>
      <c r="C1054" s="1" t="n">
        <v>45706</v>
      </c>
      <c r="D1054" t="inlineStr">
        <is>
          <t>DALARNAS LÄN</t>
        </is>
      </c>
      <c r="E1054" t="inlineStr">
        <is>
          <t>BORLÄNGE</t>
        </is>
      </c>
      <c r="G1054" t="n">
        <v>9.800000000000001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HYPERLINK("https://klasma.github.io/Logging_2081/artfynd/A 287-2025 artfynd.xlsx", "A 287-2025")</f>
        <v/>
      </c>
      <c r="T1054">
        <f>HYPERLINK("https://klasma.github.io/Logging_2081/kartor/A 287-2025 karta.png", "A 287-2025")</f>
        <v/>
      </c>
      <c r="V1054">
        <f>HYPERLINK("https://klasma.github.io/Logging_2081/klagomål/A 287-2025 FSC-klagomål.docx", "A 287-2025")</f>
        <v/>
      </c>
      <c r="W1054">
        <f>HYPERLINK("https://klasma.github.io/Logging_2081/klagomålsmail/A 287-2025 FSC-klagomål mail.docx", "A 287-2025")</f>
        <v/>
      </c>
      <c r="X1054">
        <f>HYPERLINK("https://klasma.github.io/Logging_2081/tillsyn/A 287-2025 tillsynsbegäran.docx", "A 287-2025")</f>
        <v/>
      </c>
      <c r="Y1054">
        <f>HYPERLINK("https://klasma.github.io/Logging_2081/tillsynsmail/A 287-2025 tillsynsbegäran mail.docx", "A 287-2025")</f>
        <v/>
      </c>
    </row>
    <row r="1055" ht="15" customHeight="1">
      <c r="A1055" t="inlineStr">
        <is>
          <t>A 662-2025</t>
        </is>
      </c>
      <c r="B1055" s="1" t="n">
        <v>45664</v>
      </c>
      <c r="C1055" s="1" t="n">
        <v>45706</v>
      </c>
      <c r="D1055" t="inlineStr">
        <is>
          <t>DALARNAS LÄN</t>
        </is>
      </c>
      <c r="E1055" t="inlineStr">
        <is>
          <t>ÄLVDALEN</t>
        </is>
      </c>
      <c r="G1055" t="n">
        <v>20</v>
      </c>
      <c r="H1055" t="n">
        <v>0</v>
      </c>
      <c r="I1055" t="n">
        <v>0</v>
      </c>
      <c r="J1055" t="n">
        <v>1</v>
      </c>
      <c r="K1055" t="n">
        <v>0</v>
      </c>
      <c r="L1055" t="n">
        <v>0</v>
      </c>
      <c r="M1055" t="n">
        <v>0</v>
      </c>
      <c r="N1055" t="n">
        <v>0</v>
      </c>
      <c r="O1055" t="n">
        <v>1</v>
      </c>
      <c r="P1055" t="n">
        <v>0</v>
      </c>
      <c r="Q1055" t="n">
        <v>1</v>
      </c>
      <c r="R1055" s="2" t="inlineStr">
        <is>
          <t>Garnlav</t>
        </is>
      </c>
      <c r="S1055">
        <f>HYPERLINK("https://klasma.github.io/Logging_2039/artfynd/A 662-2025 artfynd.xlsx", "A 662-2025")</f>
        <v/>
      </c>
      <c r="T1055">
        <f>HYPERLINK("https://klasma.github.io/Logging_2039/kartor/A 662-2025 karta.png", "A 662-2025")</f>
        <v/>
      </c>
      <c r="V1055">
        <f>HYPERLINK("https://klasma.github.io/Logging_2039/klagomål/A 662-2025 FSC-klagomål.docx", "A 662-2025")</f>
        <v/>
      </c>
      <c r="W1055">
        <f>HYPERLINK("https://klasma.github.io/Logging_2039/klagomålsmail/A 662-2025 FSC-klagomål mail.docx", "A 662-2025")</f>
        <v/>
      </c>
      <c r="X1055">
        <f>HYPERLINK("https://klasma.github.io/Logging_2039/tillsyn/A 662-2025 tillsynsbegäran.docx", "A 662-2025")</f>
        <v/>
      </c>
      <c r="Y1055">
        <f>HYPERLINK("https://klasma.github.io/Logging_2039/tillsynsmail/A 662-2025 tillsynsbegäran mail.docx", "A 662-2025")</f>
        <v/>
      </c>
    </row>
    <row r="1056" ht="15" customHeight="1">
      <c r="A1056" t="inlineStr">
        <is>
          <t>A 831-2025</t>
        </is>
      </c>
      <c r="B1056" s="1" t="n">
        <v>45665</v>
      </c>
      <c r="C1056" s="1" t="n">
        <v>45706</v>
      </c>
      <c r="D1056" t="inlineStr">
        <is>
          <t>DALARNAS LÄN</t>
        </is>
      </c>
      <c r="E1056" t="inlineStr">
        <is>
          <t>MORA</t>
        </is>
      </c>
      <c r="G1056" t="n">
        <v>2.5</v>
      </c>
      <c r="H1056" t="n">
        <v>0</v>
      </c>
      <c r="I1056" t="n">
        <v>1</v>
      </c>
      <c r="J1056" t="n">
        <v>0</v>
      </c>
      <c r="K1056" t="n">
        <v>0</v>
      </c>
      <c r="L1056" t="n">
        <v>0</v>
      </c>
      <c r="M1056" t="n">
        <v>0</v>
      </c>
      <c r="N1056" t="n">
        <v>0</v>
      </c>
      <c r="O1056" t="n">
        <v>0</v>
      </c>
      <c r="P1056" t="n">
        <v>0</v>
      </c>
      <c r="Q1056" t="n">
        <v>1</v>
      </c>
      <c r="R1056" s="2" t="inlineStr">
        <is>
          <t>Stekelbock</t>
        </is>
      </c>
      <c r="S1056">
        <f>HYPERLINK("https://klasma.github.io/Logging_2062/artfynd/A 831-2025 artfynd.xlsx", "A 831-2025")</f>
        <v/>
      </c>
      <c r="T1056">
        <f>HYPERLINK("https://klasma.github.io/Logging_2062/kartor/A 831-2025 karta.png", "A 831-2025")</f>
        <v/>
      </c>
      <c r="V1056">
        <f>HYPERLINK("https://klasma.github.io/Logging_2062/klagomål/A 831-2025 FSC-klagomål.docx", "A 831-2025")</f>
        <v/>
      </c>
      <c r="W1056">
        <f>HYPERLINK("https://klasma.github.io/Logging_2062/klagomålsmail/A 831-2025 FSC-klagomål mail.docx", "A 831-2025")</f>
        <v/>
      </c>
      <c r="X1056">
        <f>HYPERLINK("https://klasma.github.io/Logging_2062/tillsyn/A 831-2025 tillsynsbegäran.docx", "A 831-2025")</f>
        <v/>
      </c>
      <c r="Y1056">
        <f>HYPERLINK("https://klasma.github.io/Logging_2062/tillsynsmail/A 831-2025 tillsynsbegäran mail.docx", "A 831-2025")</f>
        <v/>
      </c>
    </row>
    <row r="1057" ht="15" customHeight="1">
      <c r="A1057" t="inlineStr">
        <is>
          <t>A 2940-2025</t>
        </is>
      </c>
      <c r="B1057" s="1" t="n">
        <v>45678</v>
      </c>
      <c r="C1057" s="1" t="n">
        <v>45706</v>
      </c>
      <c r="D1057" t="inlineStr">
        <is>
          <t>DALARNAS LÄN</t>
        </is>
      </c>
      <c r="E1057" t="inlineStr">
        <is>
          <t>MALUNG-SÄLEN</t>
        </is>
      </c>
      <c r="G1057" t="n">
        <v>3.8</v>
      </c>
      <c r="H1057" t="n">
        <v>0</v>
      </c>
      <c r="I1057" t="n">
        <v>0</v>
      </c>
      <c r="J1057" t="n">
        <v>1</v>
      </c>
      <c r="K1057" t="n">
        <v>0</v>
      </c>
      <c r="L1057" t="n">
        <v>0</v>
      </c>
      <c r="M1057" t="n">
        <v>0</v>
      </c>
      <c r="N1057" t="n">
        <v>0</v>
      </c>
      <c r="O1057" t="n">
        <v>1</v>
      </c>
      <c r="P1057" t="n">
        <v>0</v>
      </c>
      <c r="Q1057" t="n">
        <v>1</v>
      </c>
      <c r="R1057" s="2" t="inlineStr">
        <is>
          <t>Garnlav</t>
        </is>
      </c>
      <c r="S1057">
        <f>HYPERLINK("https://klasma.github.io/Logging_2023/artfynd/A 2940-2025 artfynd.xlsx", "A 2940-2025")</f>
        <v/>
      </c>
      <c r="T1057">
        <f>HYPERLINK("https://klasma.github.io/Logging_2023/kartor/A 2940-2025 karta.png", "A 2940-2025")</f>
        <v/>
      </c>
      <c r="V1057">
        <f>HYPERLINK("https://klasma.github.io/Logging_2023/klagomål/A 2940-2025 FSC-klagomål.docx", "A 2940-2025")</f>
        <v/>
      </c>
      <c r="W1057">
        <f>HYPERLINK("https://klasma.github.io/Logging_2023/klagomålsmail/A 2940-2025 FSC-klagomål mail.docx", "A 2940-2025")</f>
        <v/>
      </c>
      <c r="X1057">
        <f>HYPERLINK("https://klasma.github.io/Logging_2023/tillsyn/A 2940-2025 tillsynsbegäran.docx", "A 2940-2025")</f>
        <v/>
      </c>
      <c r="Y1057">
        <f>HYPERLINK("https://klasma.github.io/Logging_2023/tillsynsmail/A 2940-2025 tillsynsbegäran mail.docx", "A 2940-2025")</f>
        <v/>
      </c>
    </row>
    <row r="1058" ht="15" customHeight="1">
      <c r="A1058" t="inlineStr">
        <is>
          <t>A 3006-2025</t>
        </is>
      </c>
      <c r="B1058" s="1" t="n">
        <v>45678</v>
      </c>
      <c r="C1058" s="1" t="n">
        <v>45706</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4357-2025</t>
        </is>
      </c>
      <c r="B1059" s="1" t="n">
        <v>45686</v>
      </c>
      <c r="C1059" s="1" t="n">
        <v>45706</v>
      </c>
      <c r="D1059" t="inlineStr">
        <is>
          <t>DALARNAS LÄN</t>
        </is>
      </c>
      <c r="E1059" t="inlineStr">
        <is>
          <t>RÄTTVIK</t>
        </is>
      </c>
      <c r="G1059" t="n">
        <v>7.1</v>
      </c>
      <c r="H1059" t="n">
        <v>0</v>
      </c>
      <c r="I1059" t="n">
        <v>0</v>
      </c>
      <c r="J1059" t="n">
        <v>1</v>
      </c>
      <c r="K1059" t="n">
        <v>0</v>
      </c>
      <c r="L1059" t="n">
        <v>0</v>
      </c>
      <c r="M1059" t="n">
        <v>0</v>
      </c>
      <c r="N1059" t="n">
        <v>0</v>
      </c>
      <c r="O1059" t="n">
        <v>1</v>
      </c>
      <c r="P1059" t="n">
        <v>0</v>
      </c>
      <c r="Q1059" t="n">
        <v>1</v>
      </c>
      <c r="R1059" s="2" t="inlineStr">
        <is>
          <t>Ullticka</t>
        </is>
      </c>
      <c r="S1059">
        <f>HYPERLINK("https://klasma.github.io/Logging_2031/artfynd/A 4357-2025 artfynd.xlsx", "A 4357-2025")</f>
        <v/>
      </c>
      <c r="T1059">
        <f>HYPERLINK("https://klasma.github.io/Logging_2031/kartor/A 4357-2025 karta.png", "A 4357-2025")</f>
        <v/>
      </c>
      <c r="V1059">
        <f>HYPERLINK("https://klasma.github.io/Logging_2031/klagomål/A 4357-2025 FSC-klagomål.docx", "A 4357-2025")</f>
        <v/>
      </c>
      <c r="W1059">
        <f>HYPERLINK("https://klasma.github.io/Logging_2031/klagomålsmail/A 4357-2025 FSC-klagomål mail.docx", "A 4357-2025")</f>
        <v/>
      </c>
      <c r="X1059">
        <f>HYPERLINK("https://klasma.github.io/Logging_2031/tillsyn/A 4357-2025 tillsynsbegäran.docx", "A 4357-2025")</f>
        <v/>
      </c>
      <c r="Y1059">
        <f>HYPERLINK("https://klasma.github.io/Logging_2031/tillsynsmail/A 4357-2025 tillsynsbegäran mail.docx", "A 4357-2025")</f>
        <v/>
      </c>
    </row>
    <row r="1060" ht="15" customHeight="1">
      <c r="A1060" t="inlineStr">
        <is>
          <t>A 6029-2025</t>
        </is>
      </c>
      <c r="B1060" s="1" t="n">
        <v>45695</v>
      </c>
      <c r="C1060" s="1" t="n">
        <v>45706</v>
      </c>
      <c r="D1060" t="inlineStr">
        <is>
          <t>DALARNAS LÄN</t>
        </is>
      </c>
      <c r="E1060" t="inlineStr">
        <is>
          <t>LEKSAND</t>
        </is>
      </c>
      <c r="G1060" t="n">
        <v>3.5</v>
      </c>
      <c r="H1060" t="n">
        <v>1</v>
      </c>
      <c r="I1060" t="n">
        <v>0</v>
      </c>
      <c r="J1060" t="n">
        <v>1</v>
      </c>
      <c r="K1060" t="n">
        <v>0</v>
      </c>
      <c r="L1060" t="n">
        <v>0</v>
      </c>
      <c r="M1060" t="n">
        <v>0</v>
      </c>
      <c r="N1060" t="n">
        <v>0</v>
      </c>
      <c r="O1060" t="n">
        <v>1</v>
      </c>
      <c r="P1060" t="n">
        <v>0</v>
      </c>
      <c r="Q1060" t="n">
        <v>1</v>
      </c>
      <c r="R1060" s="2" t="inlineStr">
        <is>
          <t>Spillkråka</t>
        </is>
      </c>
      <c r="S1060">
        <f>HYPERLINK("https://klasma.github.io/Logging_2029/artfynd/A 6029-2025 artfynd.xlsx", "A 6029-2025")</f>
        <v/>
      </c>
      <c r="T1060">
        <f>HYPERLINK("https://klasma.github.io/Logging_2029/kartor/A 6029-2025 karta.png", "A 6029-2025")</f>
        <v/>
      </c>
      <c r="V1060">
        <f>HYPERLINK("https://klasma.github.io/Logging_2029/klagomål/A 6029-2025 FSC-klagomål.docx", "A 6029-2025")</f>
        <v/>
      </c>
      <c r="W1060">
        <f>HYPERLINK("https://klasma.github.io/Logging_2029/klagomålsmail/A 6029-2025 FSC-klagomål mail.docx", "A 6029-2025")</f>
        <v/>
      </c>
      <c r="X1060">
        <f>HYPERLINK("https://klasma.github.io/Logging_2029/tillsyn/A 6029-2025 tillsynsbegäran.docx", "A 6029-2025")</f>
        <v/>
      </c>
      <c r="Y1060">
        <f>HYPERLINK("https://klasma.github.io/Logging_2029/tillsynsmail/A 6029-2025 tillsynsbegäran mail.docx", "A 6029-2025")</f>
        <v/>
      </c>
      <c r="Z1060">
        <f>HYPERLINK("https://klasma.github.io/Logging_2029/fåglar/A 6029-2025 prioriterade fågelarter.docx", "A 6029-2025")</f>
        <v/>
      </c>
    </row>
    <row r="1061" ht="15" customHeight="1">
      <c r="A1061" t="inlineStr">
        <is>
          <t>A 6630-2025</t>
        </is>
      </c>
      <c r="B1061" s="1" t="n">
        <v>45700</v>
      </c>
      <c r="C1061" s="1" t="n">
        <v>45706</v>
      </c>
      <c r="D1061" t="inlineStr">
        <is>
          <t>DALARNAS LÄN</t>
        </is>
      </c>
      <c r="E1061" t="inlineStr">
        <is>
          <t>SÄTER</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HYPERLINK("https://klasma.github.io/Logging_2082/artfynd/A 6630-2025 artfynd.xlsx", "A 6630-2025")</f>
        <v/>
      </c>
      <c r="T1061">
        <f>HYPERLINK("https://klasma.github.io/Logging_2082/kartor/A 6630-2025 karta.png", "A 6630-2025")</f>
        <v/>
      </c>
      <c r="U1061">
        <f>HYPERLINK("https://klasma.github.io/Logging_2082/knärot/A 6630-2025 karta knärot.png", "A 6630-2025")</f>
        <v/>
      </c>
      <c r="V1061">
        <f>HYPERLINK("https://klasma.github.io/Logging_2082/klagomål/A 6630-2025 FSC-klagomål.docx", "A 6630-2025")</f>
        <v/>
      </c>
      <c r="W1061">
        <f>HYPERLINK("https://klasma.github.io/Logging_2082/klagomålsmail/A 6630-2025 FSC-klagomål mail.docx", "A 6630-2025")</f>
        <v/>
      </c>
      <c r="X1061">
        <f>HYPERLINK("https://klasma.github.io/Logging_2082/tillsyn/A 6630-2025 tillsynsbegäran.docx", "A 6630-2025")</f>
        <v/>
      </c>
      <c r="Y1061">
        <f>HYPERLINK("https://klasma.github.io/Logging_2082/tillsynsmail/A 6630-2025 tillsynsbegäran mail.docx", "A 6630-2025")</f>
        <v/>
      </c>
    </row>
    <row r="1062" ht="15" customHeight="1">
      <c r="A1062" t="inlineStr">
        <is>
          <t>A 17751-2019</t>
        </is>
      </c>
      <c r="B1062" s="1" t="n">
        <v>43556</v>
      </c>
      <c r="C1062" s="1" t="n">
        <v>45706</v>
      </c>
      <c r="D1062" t="inlineStr">
        <is>
          <t>DALARNAS LÄN</t>
        </is>
      </c>
      <c r="E1062" t="inlineStr">
        <is>
          <t>ÄLVDALEN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17741-2019</t>
        </is>
      </c>
      <c r="B1063" s="1" t="n">
        <v>43556</v>
      </c>
      <c r="C1063" s="1" t="n">
        <v>45706</v>
      </c>
      <c r="D1063" t="inlineStr">
        <is>
          <t>DALARNAS LÄN</t>
        </is>
      </c>
      <c r="E1063" t="inlineStr">
        <is>
          <t>ÄLVDALEN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17822-2019</t>
        </is>
      </c>
      <c r="B1064" s="1" t="n">
        <v>43556</v>
      </c>
      <c r="C1064" s="1" t="n">
        <v>45706</v>
      </c>
      <c r="D1064" t="inlineStr">
        <is>
          <t>DALARNAS LÄN</t>
        </is>
      </c>
      <c r="E1064" t="inlineStr">
        <is>
          <t>LEKSAND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17996-2019</t>
        </is>
      </c>
      <c r="B1065" s="1" t="n">
        <v>43556</v>
      </c>
      <c r="C1065" s="1" t="n">
        <v>45706</v>
      </c>
      <c r="D1065" t="inlineStr">
        <is>
          <t>DALARNAS LÄN</t>
        </is>
      </c>
      <c r="E1065" t="inlineStr">
        <is>
          <t>BORLÄNGE</t>
        </is>
      </c>
      <c r="F1065" t="inlineStr">
        <is>
          <t>Kommuner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18098-2019</t>
        </is>
      </c>
      <c r="B1066" s="1" t="n">
        <v>43556</v>
      </c>
      <c r="C1066" s="1" t="n">
        <v>45706</v>
      </c>
      <c r="D1066" t="inlineStr">
        <is>
          <t>DALARNAS LÄN</t>
        </is>
      </c>
      <c r="E1066" t="inlineStr">
        <is>
          <t>RÄTTVIK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17947-2019</t>
        </is>
      </c>
      <c r="B1067" s="1" t="n">
        <v>43557</v>
      </c>
      <c r="C1067" s="1" t="n">
        <v>45706</v>
      </c>
      <c r="D1067" t="inlineStr">
        <is>
          <t>DALARNAS LÄN</t>
        </is>
      </c>
      <c r="E1067" t="inlineStr">
        <is>
          <t>LUDVIKA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17967-2019</t>
        </is>
      </c>
      <c r="B1068" s="1" t="n">
        <v>43557</v>
      </c>
      <c r="C1068" s="1" t="n">
        <v>45706</v>
      </c>
      <c r="D1068" t="inlineStr">
        <is>
          <t>DALARNAS LÄN</t>
        </is>
      </c>
      <c r="E1068" t="inlineStr">
        <is>
          <t>LEKSAND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17970-2019</t>
        </is>
      </c>
      <c r="B1069" s="1" t="n">
        <v>43557</v>
      </c>
      <c r="C1069" s="1" t="n">
        <v>45706</v>
      </c>
      <c r="D1069" t="inlineStr">
        <is>
          <t>DALARNAS LÄN</t>
        </is>
      </c>
      <c r="E1069" t="inlineStr">
        <is>
          <t>LEKSAND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18127-2019</t>
        </is>
      </c>
      <c r="B1070" s="1" t="n">
        <v>43558</v>
      </c>
      <c r="C1070" s="1" t="n">
        <v>45706</v>
      </c>
      <c r="D1070" t="inlineStr">
        <is>
          <t>DALARNAS LÄN</t>
        </is>
      </c>
      <c r="E1070" t="inlineStr">
        <is>
          <t>VANSBRO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18265-2019</t>
        </is>
      </c>
      <c r="B1071" s="1" t="n">
        <v>43558</v>
      </c>
      <c r="C1071" s="1" t="n">
        <v>45706</v>
      </c>
      <c r="D1071" t="inlineStr">
        <is>
          <t>DALARNAS LÄN</t>
        </is>
      </c>
      <c r="E1071" t="inlineStr">
        <is>
          <t>MALUNG-SÄLEN</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18129-2019</t>
        </is>
      </c>
      <c r="B1072" s="1" t="n">
        <v>43558</v>
      </c>
      <c r="C1072" s="1" t="n">
        <v>45706</v>
      </c>
      <c r="D1072" t="inlineStr">
        <is>
          <t>DALARNAS LÄN</t>
        </is>
      </c>
      <c r="E1072" t="inlineStr">
        <is>
          <t>VANSBRO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18152-2019</t>
        </is>
      </c>
      <c r="B1073" s="1" t="n">
        <v>43558</v>
      </c>
      <c r="C1073" s="1" t="n">
        <v>45706</v>
      </c>
      <c r="D1073" t="inlineStr">
        <is>
          <t>DALARNAS LÄN</t>
        </is>
      </c>
      <c r="E1073" t="inlineStr">
        <is>
          <t>AVESTA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18114-2019</t>
        </is>
      </c>
      <c r="B1074" s="1" t="n">
        <v>43558</v>
      </c>
      <c r="C1074" s="1" t="n">
        <v>45706</v>
      </c>
      <c r="D1074" t="inlineStr">
        <is>
          <t>DALARNAS LÄN</t>
        </is>
      </c>
      <c r="E1074" t="inlineStr">
        <is>
          <t>FALUN</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18199-2019</t>
        </is>
      </c>
      <c r="B1075" s="1" t="n">
        <v>43558</v>
      </c>
      <c r="C1075" s="1" t="n">
        <v>45706</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18238-2019</t>
        </is>
      </c>
      <c r="B1076" s="1" t="n">
        <v>43558</v>
      </c>
      <c r="C1076" s="1" t="n">
        <v>45706</v>
      </c>
      <c r="D1076" t="inlineStr">
        <is>
          <t>DALARNAS LÄN</t>
        </is>
      </c>
      <c r="E1076" t="inlineStr">
        <is>
          <t>LEKSAND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18250-2019</t>
        </is>
      </c>
      <c r="B1077" s="1" t="n">
        <v>43558</v>
      </c>
      <c r="C1077" s="1" t="n">
        <v>45706</v>
      </c>
      <c r="D1077" t="inlineStr">
        <is>
          <t>DALARNAS LÄN</t>
        </is>
      </c>
      <c r="E1077" t="inlineStr">
        <is>
          <t>FALUN</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18514-2019</t>
        </is>
      </c>
      <c r="B1078" s="1" t="n">
        <v>43559</v>
      </c>
      <c r="C1078" s="1" t="n">
        <v>45706</v>
      </c>
      <c r="D1078" t="inlineStr">
        <is>
          <t>DALARNAS LÄN</t>
        </is>
      </c>
      <c r="E1078" t="inlineStr">
        <is>
          <t>VANSBRO</t>
        </is>
      </c>
      <c r="F1078" t="inlineStr">
        <is>
          <t>Bergvik skog väst AB</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18339-2019</t>
        </is>
      </c>
      <c r="B1079" s="1" t="n">
        <v>43559</v>
      </c>
      <c r="C1079" s="1" t="n">
        <v>45706</v>
      </c>
      <c r="D1079" t="inlineStr">
        <is>
          <t>DALARNAS LÄN</t>
        </is>
      </c>
      <c r="E1079" t="inlineStr">
        <is>
          <t>GAGNEF</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18534-2019</t>
        </is>
      </c>
      <c r="B1080" s="1" t="n">
        <v>43559</v>
      </c>
      <c r="C1080" s="1" t="n">
        <v>45706</v>
      </c>
      <c r="D1080" t="inlineStr">
        <is>
          <t>DALARNAS LÄN</t>
        </is>
      </c>
      <c r="E1080" t="inlineStr">
        <is>
          <t>RÄTTVIK</t>
        </is>
      </c>
      <c r="F1080" t="inlineStr">
        <is>
          <t>Bergvik skog väst AB</t>
        </is>
      </c>
      <c r="G1080" t="n">
        <v>43.7</v>
      </c>
      <c r="H1080" t="n">
        <v>0</v>
      </c>
      <c r="I1080" t="n">
        <v>0</v>
      </c>
      <c r="J1080" t="n">
        <v>0</v>
      </c>
      <c r="K1080" t="n">
        <v>0</v>
      </c>
      <c r="L1080" t="n">
        <v>0</v>
      </c>
      <c r="M1080" t="n">
        <v>0</v>
      </c>
      <c r="N1080" t="n">
        <v>0</v>
      </c>
      <c r="O1080" t="n">
        <v>0</v>
      </c>
      <c r="P1080" t="n">
        <v>0</v>
      </c>
      <c r="Q1080" t="n">
        <v>0</v>
      </c>
      <c r="R1080" s="2" t="inlineStr"/>
    </row>
    <row r="1081" ht="15" customHeight="1">
      <c r="A1081" t="inlineStr">
        <is>
          <t>A 18512-2019</t>
        </is>
      </c>
      <c r="B1081" s="1" t="n">
        <v>43559</v>
      </c>
      <c r="C1081" s="1" t="n">
        <v>45706</v>
      </c>
      <c r="D1081" t="inlineStr">
        <is>
          <t>DALARNAS LÄN</t>
        </is>
      </c>
      <c r="E1081" t="inlineStr">
        <is>
          <t>VANSBRO</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18766-2019</t>
        </is>
      </c>
      <c r="B1082" s="1" t="n">
        <v>43560</v>
      </c>
      <c r="C1082" s="1" t="n">
        <v>45706</v>
      </c>
      <c r="D1082" t="inlineStr">
        <is>
          <t>DALARNAS LÄN</t>
        </is>
      </c>
      <c r="E1082" t="inlineStr">
        <is>
          <t>FALUN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18701-2019</t>
        </is>
      </c>
      <c r="B1083" s="1" t="n">
        <v>43560</v>
      </c>
      <c r="C1083" s="1" t="n">
        <v>45706</v>
      </c>
      <c r="D1083" t="inlineStr">
        <is>
          <t>DALARNAS LÄN</t>
        </is>
      </c>
      <c r="E1083" t="inlineStr">
        <is>
          <t>SMEDJEBACKEN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18586-2019</t>
        </is>
      </c>
      <c r="B1084" s="1" t="n">
        <v>43560</v>
      </c>
      <c r="C1084" s="1" t="n">
        <v>45706</v>
      </c>
      <c r="D1084" t="inlineStr">
        <is>
          <t>DALARNAS LÄN</t>
        </is>
      </c>
      <c r="E1084" t="inlineStr">
        <is>
          <t>AVESTA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19016-2019</t>
        </is>
      </c>
      <c r="B1085" s="1" t="n">
        <v>43563</v>
      </c>
      <c r="C1085" s="1" t="n">
        <v>45706</v>
      </c>
      <c r="D1085" t="inlineStr">
        <is>
          <t>DALARNAS LÄN</t>
        </is>
      </c>
      <c r="E1085" t="inlineStr">
        <is>
          <t>HEDEMORA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18844-2019</t>
        </is>
      </c>
      <c r="B1086" s="1" t="n">
        <v>43563</v>
      </c>
      <c r="C1086" s="1" t="n">
        <v>45706</v>
      </c>
      <c r="D1086" t="inlineStr">
        <is>
          <t>DALARNAS LÄN</t>
        </is>
      </c>
      <c r="E1086" t="inlineStr">
        <is>
          <t>MALUNG-SÄLEN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19150-2019</t>
        </is>
      </c>
      <c r="B1087" s="1" t="n">
        <v>43564</v>
      </c>
      <c r="C1087" s="1" t="n">
        <v>45706</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19154-2019</t>
        </is>
      </c>
      <c r="B1088" s="1" t="n">
        <v>43564</v>
      </c>
      <c r="C1088" s="1" t="n">
        <v>45706</v>
      </c>
      <c r="D1088" t="inlineStr">
        <is>
          <t>DALARNAS LÄN</t>
        </is>
      </c>
      <c r="E1088" t="inlineStr">
        <is>
          <t>GAGNEF</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19527-2019</t>
        </is>
      </c>
      <c r="B1089" s="1" t="n">
        <v>43565</v>
      </c>
      <c r="C1089" s="1" t="n">
        <v>45706</v>
      </c>
      <c r="D1089" t="inlineStr">
        <is>
          <t>DALARNAS LÄN</t>
        </is>
      </c>
      <c r="E1089" t="inlineStr">
        <is>
          <t>SMEDJEBACKEN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19281-2019</t>
        </is>
      </c>
      <c r="B1090" s="1" t="n">
        <v>43565</v>
      </c>
      <c r="C1090" s="1" t="n">
        <v>45706</v>
      </c>
      <c r="D1090" t="inlineStr">
        <is>
          <t>DALARNAS LÄN</t>
        </is>
      </c>
      <c r="E1090" t="inlineStr">
        <is>
          <t>MALUNG-SÄLEN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19282-2019</t>
        </is>
      </c>
      <c r="B1091" s="1" t="n">
        <v>43565</v>
      </c>
      <c r="C1091" s="1" t="n">
        <v>45706</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19571-2019</t>
        </is>
      </c>
      <c r="B1092" s="1" t="n">
        <v>43566</v>
      </c>
      <c r="C1092" s="1" t="n">
        <v>45706</v>
      </c>
      <c r="D1092" t="inlineStr">
        <is>
          <t>DALARNAS LÄN</t>
        </is>
      </c>
      <c r="E1092" t="inlineStr">
        <is>
          <t>LUDVIKA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19703-2019</t>
        </is>
      </c>
      <c r="B1093" s="1" t="n">
        <v>43566</v>
      </c>
      <c r="C1093" s="1" t="n">
        <v>45706</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19790-2019</t>
        </is>
      </c>
      <c r="B1094" s="1" t="n">
        <v>43566</v>
      </c>
      <c r="C1094" s="1" t="n">
        <v>45706</v>
      </c>
      <c r="D1094" t="inlineStr">
        <is>
          <t>DALARNAS LÄN</t>
        </is>
      </c>
      <c r="E1094" t="inlineStr">
        <is>
          <t>LEKSAND</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19754-2019</t>
        </is>
      </c>
      <c r="B1095" s="1" t="n">
        <v>43566</v>
      </c>
      <c r="C1095" s="1" t="n">
        <v>45706</v>
      </c>
      <c r="D1095" t="inlineStr">
        <is>
          <t>DALARNAS LÄN</t>
        </is>
      </c>
      <c r="E1095" t="inlineStr">
        <is>
          <t>RÄTTVIK</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19853-2019</t>
        </is>
      </c>
      <c r="B1096" s="1" t="n">
        <v>43567</v>
      </c>
      <c r="C1096" s="1" t="n">
        <v>45706</v>
      </c>
      <c r="D1096" t="inlineStr">
        <is>
          <t>DALARNAS LÄN</t>
        </is>
      </c>
      <c r="E1096" t="inlineStr">
        <is>
          <t>SÄTER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20044-2019</t>
        </is>
      </c>
      <c r="B1097" s="1" t="n">
        <v>43570</v>
      </c>
      <c r="C1097" s="1" t="n">
        <v>45706</v>
      </c>
      <c r="D1097" t="inlineStr">
        <is>
          <t>DALARNAS LÄN</t>
        </is>
      </c>
      <c r="E1097" t="inlineStr">
        <is>
          <t>RÄTTVIK</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20104-2019</t>
        </is>
      </c>
      <c r="B1098" s="1" t="n">
        <v>43570</v>
      </c>
      <c r="C1098" s="1" t="n">
        <v>45706</v>
      </c>
      <c r="D1098" t="inlineStr">
        <is>
          <t>DALARNAS LÄN</t>
        </is>
      </c>
      <c r="E1098" t="inlineStr">
        <is>
          <t>ÄLVDALEN</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20000-2019</t>
        </is>
      </c>
      <c r="B1099" s="1" t="n">
        <v>43570</v>
      </c>
      <c r="C1099" s="1" t="n">
        <v>45706</v>
      </c>
      <c r="D1099" t="inlineStr">
        <is>
          <t>DALARNAS LÄN</t>
        </is>
      </c>
      <c r="E1099" t="inlineStr">
        <is>
          <t>VANSBRO</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20032-2019</t>
        </is>
      </c>
      <c r="B1100" s="1" t="n">
        <v>43570</v>
      </c>
      <c r="C1100" s="1" t="n">
        <v>45706</v>
      </c>
      <c r="D1100" t="inlineStr">
        <is>
          <t>DALARNAS LÄN</t>
        </is>
      </c>
      <c r="E1100" t="inlineStr">
        <is>
          <t>RÄTTVIK</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20311-2019</t>
        </is>
      </c>
      <c r="B1101" s="1" t="n">
        <v>43570</v>
      </c>
      <c r="C1101" s="1" t="n">
        <v>45706</v>
      </c>
      <c r="D1101" t="inlineStr">
        <is>
          <t>DALARNAS LÄN</t>
        </is>
      </c>
      <c r="E1101" t="inlineStr">
        <is>
          <t>RÄTTVIK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20226-2019</t>
        </is>
      </c>
      <c r="B1102" s="1" t="n">
        <v>43570</v>
      </c>
      <c r="C1102" s="1" t="n">
        <v>45706</v>
      </c>
      <c r="D1102" t="inlineStr">
        <is>
          <t>DALARNAS LÄN</t>
        </is>
      </c>
      <c r="E1102" t="inlineStr">
        <is>
          <t>MORA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20004-2019</t>
        </is>
      </c>
      <c r="B1103" s="1" t="n">
        <v>43570</v>
      </c>
      <c r="C1103" s="1" t="n">
        <v>45706</v>
      </c>
      <c r="D1103" t="inlineStr">
        <is>
          <t>DALARNAS LÄN</t>
        </is>
      </c>
      <c r="E1103" t="inlineStr">
        <is>
          <t>ÄLVDALEN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19997-2019</t>
        </is>
      </c>
      <c r="B1104" s="1" t="n">
        <v>43570</v>
      </c>
      <c r="C1104" s="1" t="n">
        <v>45706</v>
      </c>
      <c r="D1104" t="inlineStr">
        <is>
          <t>DALARNAS LÄN</t>
        </is>
      </c>
      <c r="E1104" t="inlineStr">
        <is>
          <t>VANSBRO</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20399-2019</t>
        </is>
      </c>
      <c r="B1105" s="1" t="n">
        <v>43571</v>
      </c>
      <c r="C1105" s="1" t="n">
        <v>45706</v>
      </c>
      <c r="D1105" t="inlineStr">
        <is>
          <t>DALARNAS LÄN</t>
        </is>
      </c>
      <c r="E1105" t="inlineStr">
        <is>
          <t>FALUN</t>
        </is>
      </c>
      <c r="F1105" t="inlineStr">
        <is>
          <t>Kyrkan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20398-2019</t>
        </is>
      </c>
      <c r="B1106" s="1" t="n">
        <v>43571</v>
      </c>
      <c r="C1106" s="1" t="n">
        <v>45706</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20394-2019</t>
        </is>
      </c>
      <c r="B1107" s="1" t="n">
        <v>43571</v>
      </c>
      <c r="C1107" s="1" t="n">
        <v>45706</v>
      </c>
      <c r="D1107" t="inlineStr">
        <is>
          <t>DALARNAS LÄN</t>
        </is>
      </c>
      <c r="E1107" t="inlineStr">
        <is>
          <t>FALUN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20391-2019</t>
        </is>
      </c>
      <c r="B1108" s="1" t="n">
        <v>43571</v>
      </c>
      <c r="C1108" s="1" t="n">
        <v>45706</v>
      </c>
      <c r="D1108" t="inlineStr">
        <is>
          <t>DALARNAS LÄN</t>
        </is>
      </c>
      <c r="E1108" t="inlineStr">
        <is>
          <t>FALUN</t>
        </is>
      </c>
      <c r="F1108" t="inlineStr">
        <is>
          <t>Kyrkan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20392-2019</t>
        </is>
      </c>
      <c r="B1109" s="1" t="n">
        <v>43571</v>
      </c>
      <c r="C1109" s="1" t="n">
        <v>45706</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20464-2019</t>
        </is>
      </c>
      <c r="B1110" s="1" t="n">
        <v>43572</v>
      </c>
      <c r="C1110" s="1" t="n">
        <v>45706</v>
      </c>
      <c r="D1110" t="inlineStr">
        <is>
          <t>DALARNAS LÄN</t>
        </is>
      </c>
      <c r="E1110" t="inlineStr">
        <is>
          <t>MORA</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20593-2019</t>
        </is>
      </c>
      <c r="B1111" s="1" t="n">
        <v>43572</v>
      </c>
      <c r="C1111" s="1" t="n">
        <v>45706</v>
      </c>
      <c r="D1111" t="inlineStr">
        <is>
          <t>DALARNAS LÄN</t>
        </is>
      </c>
      <c r="E1111" t="inlineStr">
        <is>
          <t>VANSBRO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20667-2019</t>
        </is>
      </c>
      <c r="B1112" s="1" t="n">
        <v>43573</v>
      </c>
      <c r="C1112" s="1" t="n">
        <v>45706</v>
      </c>
      <c r="D1112" t="inlineStr">
        <is>
          <t>DALARNAS LÄN</t>
        </is>
      </c>
      <c r="E1112" t="inlineStr">
        <is>
          <t>AVESTA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20948-2019</t>
        </is>
      </c>
      <c r="B1113" s="1" t="n">
        <v>43578</v>
      </c>
      <c r="C1113" s="1" t="n">
        <v>45706</v>
      </c>
      <c r="D1113" t="inlineStr">
        <is>
          <t>DALARNAS LÄN</t>
        </is>
      </c>
      <c r="E1113" t="inlineStr">
        <is>
          <t>ÄLVDALEN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20962-2019</t>
        </is>
      </c>
      <c r="B1114" s="1" t="n">
        <v>43578</v>
      </c>
      <c r="C1114" s="1" t="n">
        <v>45706</v>
      </c>
      <c r="D1114" t="inlineStr">
        <is>
          <t>DALARNAS LÄN</t>
        </is>
      </c>
      <c r="E1114" t="inlineStr">
        <is>
          <t>ÄLVDALEN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21900-2019</t>
        </is>
      </c>
      <c r="B1115" s="1" t="n">
        <v>43578</v>
      </c>
      <c r="C1115" s="1" t="n">
        <v>45706</v>
      </c>
      <c r="D1115" t="inlineStr">
        <is>
          <t>DALARNAS LÄN</t>
        </is>
      </c>
      <c r="E1115" t="inlineStr">
        <is>
          <t>GAGNEF</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21235-2019</t>
        </is>
      </c>
      <c r="B1116" s="1" t="n">
        <v>43579</v>
      </c>
      <c r="C1116" s="1" t="n">
        <v>45706</v>
      </c>
      <c r="D1116" t="inlineStr">
        <is>
          <t>DALARNAS LÄN</t>
        </is>
      </c>
      <c r="E1116" t="inlineStr">
        <is>
          <t>HEDEMORA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21282-2019</t>
        </is>
      </c>
      <c r="B1117" s="1" t="n">
        <v>43579</v>
      </c>
      <c r="C1117" s="1" t="n">
        <v>45706</v>
      </c>
      <c r="D1117" t="inlineStr">
        <is>
          <t>DALARNAS LÄN</t>
        </is>
      </c>
      <c r="E1117" t="inlineStr">
        <is>
          <t>SÄTER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21212-2019</t>
        </is>
      </c>
      <c r="B1118" s="1" t="n">
        <v>43579</v>
      </c>
      <c r="C1118" s="1" t="n">
        <v>45706</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21209-2019</t>
        </is>
      </c>
      <c r="B1119" s="1" t="n">
        <v>43579</v>
      </c>
      <c r="C1119" s="1" t="n">
        <v>45706</v>
      </c>
      <c r="D1119" t="inlineStr">
        <is>
          <t>DALARNAS LÄN</t>
        </is>
      </c>
      <c r="E1119" t="inlineStr">
        <is>
          <t>VANSBRO</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21248-2019</t>
        </is>
      </c>
      <c r="B1120" s="1" t="n">
        <v>43579</v>
      </c>
      <c r="C1120" s="1" t="n">
        <v>45706</v>
      </c>
      <c r="D1120" t="inlineStr">
        <is>
          <t>DALARNAS LÄN</t>
        </is>
      </c>
      <c r="E1120" t="inlineStr">
        <is>
          <t>FALUN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21273-2019</t>
        </is>
      </c>
      <c r="B1121" s="1" t="n">
        <v>43579</v>
      </c>
      <c r="C1121" s="1" t="n">
        <v>45706</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21495-2019</t>
        </is>
      </c>
      <c r="B1122" s="1" t="n">
        <v>43580</v>
      </c>
      <c r="C1122" s="1" t="n">
        <v>45706</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21455-2019</t>
        </is>
      </c>
      <c r="B1123" s="1" t="n">
        <v>43580</v>
      </c>
      <c r="C1123" s="1" t="n">
        <v>45706</v>
      </c>
      <c r="D1123" t="inlineStr">
        <is>
          <t>DALARNAS LÄN</t>
        </is>
      </c>
      <c r="E1123" t="inlineStr">
        <is>
          <t>RÄTTVIK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21717-2019</t>
        </is>
      </c>
      <c r="B1124" s="1" t="n">
        <v>43581</v>
      </c>
      <c r="C1124" s="1" t="n">
        <v>45706</v>
      </c>
      <c r="D1124" t="inlineStr">
        <is>
          <t>DALARNAS LÄN</t>
        </is>
      </c>
      <c r="E1124" t="inlineStr">
        <is>
          <t>ÄLVDALEN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21707-2019</t>
        </is>
      </c>
      <c r="B1125" s="1" t="n">
        <v>43581</v>
      </c>
      <c r="C1125" s="1" t="n">
        <v>45706</v>
      </c>
      <c r="D1125" t="inlineStr">
        <is>
          <t>DALARNAS LÄN</t>
        </is>
      </c>
      <c r="E1125" t="inlineStr">
        <is>
          <t>BORLÄNGE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21969-2019</t>
        </is>
      </c>
      <c r="B1126" s="1" t="n">
        <v>43584</v>
      </c>
      <c r="C1126" s="1" t="n">
        <v>45706</v>
      </c>
      <c r="D1126" t="inlineStr">
        <is>
          <t>DALARNAS LÄN</t>
        </is>
      </c>
      <c r="E1126" t="inlineStr">
        <is>
          <t>ÄLVDALEN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21947-2019</t>
        </is>
      </c>
      <c r="B1127" s="1" t="n">
        <v>43584</v>
      </c>
      <c r="C1127" s="1" t="n">
        <v>45706</v>
      </c>
      <c r="D1127" t="inlineStr">
        <is>
          <t>DALARNAS LÄN</t>
        </is>
      </c>
      <c r="E1127" t="inlineStr">
        <is>
          <t>RÄTTVIK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21964-2019</t>
        </is>
      </c>
      <c r="B1128" s="1" t="n">
        <v>43584</v>
      </c>
      <c r="C1128" s="1" t="n">
        <v>45706</v>
      </c>
      <c r="D1128" t="inlineStr">
        <is>
          <t>DALARNAS LÄN</t>
        </is>
      </c>
      <c r="E1128" t="inlineStr">
        <is>
          <t>FALUN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21998-2019</t>
        </is>
      </c>
      <c r="B1129" s="1" t="n">
        <v>43584</v>
      </c>
      <c r="C1129" s="1" t="n">
        <v>45706</v>
      </c>
      <c r="D1129" t="inlineStr">
        <is>
          <t>DALARNAS LÄN</t>
        </is>
      </c>
      <c r="E1129" t="inlineStr">
        <is>
          <t>FALUN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22029-2019</t>
        </is>
      </c>
      <c r="B1130" s="1" t="n">
        <v>43584</v>
      </c>
      <c r="C1130" s="1" t="n">
        <v>45706</v>
      </c>
      <c r="D1130" t="inlineStr">
        <is>
          <t>DALARNAS LÄN</t>
        </is>
      </c>
      <c r="E1130" t="inlineStr">
        <is>
          <t>SMEDJEBACKEN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22347-2019</t>
        </is>
      </c>
      <c r="B1131" s="1" t="n">
        <v>43585</v>
      </c>
      <c r="C1131" s="1" t="n">
        <v>45706</v>
      </c>
      <c r="D1131" t="inlineStr">
        <is>
          <t>DALARNAS LÄN</t>
        </is>
      </c>
      <c r="E1131" t="inlineStr">
        <is>
          <t>RÄTTVIK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22428-2019</t>
        </is>
      </c>
      <c r="B1132" s="1" t="n">
        <v>43587</v>
      </c>
      <c r="C1132" s="1" t="n">
        <v>45706</v>
      </c>
      <c r="D1132" t="inlineStr">
        <is>
          <t>DALARNAS LÄN</t>
        </is>
      </c>
      <c r="E1132" t="inlineStr">
        <is>
          <t>VANSBRO</t>
        </is>
      </c>
      <c r="F1132" t="inlineStr">
        <is>
          <t>Bergvik skog väst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22452-2019</t>
        </is>
      </c>
      <c r="B1133" s="1" t="n">
        <v>43587</v>
      </c>
      <c r="C1133" s="1" t="n">
        <v>45706</v>
      </c>
      <c r="D1133" t="inlineStr">
        <is>
          <t>DALARNAS LÄN</t>
        </is>
      </c>
      <c r="E1133" t="inlineStr">
        <is>
          <t>MALUNG-SÄLEN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22560-2019</t>
        </is>
      </c>
      <c r="B1134" s="1" t="n">
        <v>43587</v>
      </c>
      <c r="C1134" s="1" t="n">
        <v>45706</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22494-2019</t>
        </is>
      </c>
      <c r="B1135" s="1" t="n">
        <v>43587</v>
      </c>
      <c r="C1135" s="1" t="n">
        <v>45706</v>
      </c>
      <c r="D1135" t="inlineStr">
        <is>
          <t>DALARNAS LÄN</t>
        </is>
      </c>
      <c r="E1135" t="inlineStr">
        <is>
          <t>HEDEMORA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22551-2019</t>
        </is>
      </c>
      <c r="B1136" s="1" t="n">
        <v>43587</v>
      </c>
      <c r="C1136" s="1" t="n">
        <v>45706</v>
      </c>
      <c r="D1136" t="inlineStr">
        <is>
          <t>DALARNAS LÄN</t>
        </is>
      </c>
      <c r="E1136" t="inlineStr">
        <is>
          <t>FALUN</t>
        </is>
      </c>
      <c r="F1136" t="inlineStr">
        <is>
          <t>Bergvik skog väst AB</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22810-2019</t>
        </is>
      </c>
      <c r="B1137" s="1" t="n">
        <v>43590</v>
      </c>
      <c r="C1137" s="1" t="n">
        <v>45706</v>
      </c>
      <c r="D1137" t="inlineStr">
        <is>
          <t>DALARNAS LÄN</t>
        </is>
      </c>
      <c r="E1137" t="inlineStr">
        <is>
          <t>HEDEMORA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22809-2019</t>
        </is>
      </c>
      <c r="B1138" s="1" t="n">
        <v>43590</v>
      </c>
      <c r="C1138" s="1" t="n">
        <v>45706</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22881-2019</t>
        </is>
      </c>
      <c r="B1139" s="1" t="n">
        <v>43591</v>
      </c>
      <c r="C1139" s="1" t="n">
        <v>45706</v>
      </c>
      <c r="D1139" t="inlineStr">
        <is>
          <t>DALARNAS LÄN</t>
        </is>
      </c>
      <c r="E1139" t="inlineStr">
        <is>
          <t>GAGNEF</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23005-2019</t>
        </is>
      </c>
      <c r="B1140" s="1" t="n">
        <v>43591</v>
      </c>
      <c r="C1140" s="1" t="n">
        <v>45706</v>
      </c>
      <c r="D1140" t="inlineStr">
        <is>
          <t>DALARNAS LÄN</t>
        </is>
      </c>
      <c r="E1140" t="inlineStr">
        <is>
          <t>FALUN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23324-2019</t>
        </is>
      </c>
      <c r="B1141" s="1" t="n">
        <v>43591</v>
      </c>
      <c r="C1141" s="1" t="n">
        <v>45706</v>
      </c>
      <c r="D1141" t="inlineStr">
        <is>
          <t>DALARNAS LÄN</t>
        </is>
      </c>
      <c r="E1141" t="inlineStr">
        <is>
          <t>FALUN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22975-2019</t>
        </is>
      </c>
      <c r="B1142" s="1" t="n">
        <v>43591</v>
      </c>
      <c r="C1142" s="1" t="n">
        <v>45706</v>
      </c>
      <c r="D1142" t="inlineStr">
        <is>
          <t>DALARNAS LÄN</t>
        </is>
      </c>
      <c r="E1142" t="inlineStr">
        <is>
          <t>LEKSAND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22970-2019</t>
        </is>
      </c>
      <c r="B1143" s="1" t="n">
        <v>43591</v>
      </c>
      <c r="C1143" s="1" t="n">
        <v>45706</v>
      </c>
      <c r="D1143" t="inlineStr">
        <is>
          <t>DALARNAS LÄN</t>
        </is>
      </c>
      <c r="E1143" t="inlineStr">
        <is>
          <t>MORA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23176-2019</t>
        </is>
      </c>
      <c r="B1144" s="1" t="n">
        <v>43592</v>
      </c>
      <c r="C1144" s="1" t="n">
        <v>45706</v>
      </c>
      <c r="D1144" t="inlineStr">
        <is>
          <t>DALARNAS LÄN</t>
        </is>
      </c>
      <c r="E1144" t="inlineStr">
        <is>
          <t>RÄTTVIK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23154-2019</t>
        </is>
      </c>
      <c r="B1145" s="1" t="n">
        <v>43592</v>
      </c>
      <c r="C1145" s="1" t="n">
        <v>45706</v>
      </c>
      <c r="D1145" t="inlineStr">
        <is>
          <t>DALARNAS LÄN</t>
        </is>
      </c>
      <c r="E1145" t="inlineStr">
        <is>
          <t>RÄTTVIK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23374-2019</t>
        </is>
      </c>
      <c r="B1146" s="1" t="n">
        <v>43592</v>
      </c>
      <c r="C1146" s="1" t="n">
        <v>45706</v>
      </c>
      <c r="D1146" t="inlineStr">
        <is>
          <t>DALARNAS LÄN</t>
        </is>
      </c>
      <c r="E1146" t="inlineStr">
        <is>
          <t>RÄTTVIK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23302-2019</t>
        </is>
      </c>
      <c r="B1147" s="1" t="n">
        <v>43593</v>
      </c>
      <c r="C1147" s="1" t="n">
        <v>45706</v>
      </c>
      <c r="D1147" t="inlineStr">
        <is>
          <t>DALARNAS LÄN</t>
        </is>
      </c>
      <c r="E1147" t="inlineStr">
        <is>
          <t>VANSBRO</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23351-2019</t>
        </is>
      </c>
      <c r="B1148" s="1" t="n">
        <v>43593</v>
      </c>
      <c r="C1148" s="1" t="n">
        <v>45706</v>
      </c>
      <c r="D1148" t="inlineStr">
        <is>
          <t>DALARNAS LÄN</t>
        </is>
      </c>
      <c r="E1148" t="inlineStr">
        <is>
          <t>LUDVIKA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23360-2019</t>
        </is>
      </c>
      <c r="B1149" s="1" t="n">
        <v>43593</v>
      </c>
      <c r="C1149" s="1" t="n">
        <v>45706</v>
      </c>
      <c r="D1149" t="inlineStr">
        <is>
          <t>DALARNAS LÄN</t>
        </is>
      </c>
      <c r="E1149" t="inlineStr">
        <is>
          <t>ÄLVDALEN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23576-2019</t>
        </is>
      </c>
      <c r="B1150" s="1" t="n">
        <v>43593</v>
      </c>
      <c r="C1150" s="1" t="n">
        <v>45706</v>
      </c>
      <c r="D1150" t="inlineStr">
        <is>
          <t>DALARNAS LÄN</t>
        </is>
      </c>
      <c r="E1150" t="inlineStr">
        <is>
          <t>SMEDJEBACKEN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23487-2019</t>
        </is>
      </c>
      <c r="B1151" s="1" t="n">
        <v>43594</v>
      </c>
      <c r="C1151" s="1" t="n">
        <v>45706</v>
      </c>
      <c r="D1151" t="inlineStr">
        <is>
          <t>DALARNAS LÄN</t>
        </is>
      </c>
      <c r="E1151" t="inlineStr">
        <is>
          <t>LUDVIKA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23665-2019</t>
        </is>
      </c>
      <c r="B1152" s="1" t="n">
        <v>43594</v>
      </c>
      <c r="C1152" s="1" t="n">
        <v>45706</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23757-2019</t>
        </is>
      </c>
      <c r="B1153" s="1" t="n">
        <v>43594</v>
      </c>
      <c r="C1153" s="1" t="n">
        <v>45706</v>
      </c>
      <c r="D1153" t="inlineStr">
        <is>
          <t>DALARNAS LÄN</t>
        </is>
      </c>
      <c r="E1153" t="inlineStr">
        <is>
          <t>GAGNEF</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23636-2019</t>
        </is>
      </c>
      <c r="B1154" s="1" t="n">
        <v>43594</v>
      </c>
      <c r="C1154" s="1" t="n">
        <v>45706</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23492-2019</t>
        </is>
      </c>
      <c r="B1155" s="1" t="n">
        <v>43594</v>
      </c>
      <c r="C1155" s="1" t="n">
        <v>45706</v>
      </c>
      <c r="D1155" t="inlineStr">
        <is>
          <t>DALARNAS LÄN</t>
        </is>
      </c>
      <c r="E1155" t="inlineStr">
        <is>
          <t>HEDEMORA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23809-2019</t>
        </is>
      </c>
      <c r="B1156" s="1" t="n">
        <v>43595</v>
      </c>
      <c r="C1156" s="1" t="n">
        <v>45706</v>
      </c>
      <c r="D1156" t="inlineStr">
        <is>
          <t>DALARNAS LÄN</t>
        </is>
      </c>
      <c r="E1156" t="inlineStr">
        <is>
          <t>MALUNG-SÄLEN</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23804-2019</t>
        </is>
      </c>
      <c r="B1157" s="1" t="n">
        <v>43595</v>
      </c>
      <c r="C1157" s="1" t="n">
        <v>45706</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23779-2019</t>
        </is>
      </c>
      <c r="B1158" s="1" t="n">
        <v>43595</v>
      </c>
      <c r="C1158" s="1" t="n">
        <v>45706</v>
      </c>
      <c r="D1158" t="inlineStr">
        <is>
          <t>DALARNAS LÄN</t>
        </is>
      </c>
      <c r="E1158" t="inlineStr">
        <is>
          <t>SÄTER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23808-2019</t>
        </is>
      </c>
      <c r="B1159" s="1" t="n">
        <v>43595</v>
      </c>
      <c r="C1159" s="1" t="n">
        <v>45706</v>
      </c>
      <c r="D1159" t="inlineStr">
        <is>
          <t>DALARNAS LÄN</t>
        </is>
      </c>
      <c r="E1159" t="inlineStr">
        <is>
          <t>HEDEMORA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23907-2019</t>
        </is>
      </c>
      <c r="B1160" s="1" t="n">
        <v>43595</v>
      </c>
      <c r="C1160" s="1" t="n">
        <v>45706</v>
      </c>
      <c r="D1160" t="inlineStr">
        <is>
          <t>DALARNAS LÄN</t>
        </is>
      </c>
      <c r="E1160" t="inlineStr">
        <is>
          <t>SMEDJEBACKEN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23946-2019</t>
        </is>
      </c>
      <c r="B1161" s="1" t="n">
        <v>43596</v>
      </c>
      <c r="C1161" s="1" t="n">
        <v>45706</v>
      </c>
      <c r="D1161" t="inlineStr">
        <is>
          <t>DALARNAS LÄN</t>
        </is>
      </c>
      <c r="E1161" t="inlineStr">
        <is>
          <t>ÄLVDALEN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24087-2019</t>
        </is>
      </c>
      <c r="B1162" s="1" t="n">
        <v>43598</v>
      </c>
      <c r="C1162" s="1" t="n">
        <v>45706</v>
      </c>
      <c r="D1162" t="inlineStr">
        <is>
          <t>DALARNAS LÄN</t>
        </is>
      </c>
      <c r="E1162" t="inlineStr">
        <is>
          <t>GAGNEF</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24300-2019</t>
        </is>
      </c>
      <c r="B1163" s="1" t="n">
        <v>43598</v>
      </c>
      <c r="C1163" s="1" t="n">
        <v>45706</v>
      </c>
      <c r="D1163" t="inlineStr">
        <is>
          <t>DALARNAS LÄN</t>
        </is>
      </c>
      <c r="E1163" t="inlineStr">
        <is>
          <t>LEKSAND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24051-2019</t>
        </is>
      </c>
      <c r="B1164" s="1" t="n">
        <v>43598</v>
      </c>
      <c r="C1164" s="1" t="n">
        <v>45706</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24266-2019</t>
        </is>
      </c>
      <c r="B1165" s="1" t="n">
        <v>43599</v>
      </c>
      <c r="C1165" s="1" t="n">
        <v>45706</v>
      </c>
      <c r="D1165" t="inlineStr">
        <is>
          <t>DALARNAS LÄN</t>
        </is>
      </c>
      <c r="E1165" t="inlineStr">
        <is>
          <t>RÄTTVIK</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24542-2019</t>
        </is>
      </c>
      <c r="B1166" s="1" t="n">
        <v>43600</v>
      </c>
      <c r="C1166" s="1" t="n">
        <v>45706</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24629-2019</t>
        </is>
      </c>
      <c r="B1167" s="1" t="n">
        <v>43601</v>
      </c>
      <c r="C1167" s="1" t="n">
        <v>45706</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24626-2019</t>
        </is>
      </c>
      <c r="B1168" s="1" t="n">
        <v>43601</v>
      </c>
      <c r="C1168" s="1" t="n">
        <v>45706</v>
      </c>
      <c r="D1168" t="inlineStr">
        <is>
          <t>DALARNAS LÄN</t>
        </is>
      </c>
      <c r="E1168" t="inlineStr">
        <is>
          <t>GAGNEF</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24651-2019</t>
        </is>
      </c>
      <c r="B1169" s="1" t="n">
        <v>43601</v>
      </c>
      <c r="C1169" s="1" t="n">
        <v>45706</v>
      </c>
      <c r="D1169" t="inlineStr">
        <is>
          <t>DALARNAS LÄN</t>
        </is>
      </c>
      <c r="E1169" t="inlineStr">
        <is>
          <t>ÄLVDALEN</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24630-2019</t>
        </is>
      </c>
      <c r="B1170" s="1" t="n">
        <v>43601</v>
      </c>
      <c r="C1170" s="1" t="n">
        <v>45706</v>
      </c>
      <c r="D1170" t="inlineStr">
        <is>
          <t>DALARNAS LÄN</t>
        </is>
      </c>
      <c r="E1170" t="inlineStr">
        <is>
          <t>MORA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25235-2019</t>
        </is>
      </c>
      <c r="B1171" s="1" t="n">
        <v>43601</v>
      </c>
      <c r="C1171" s="1" t="n">
        <v>45706</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24735-2019</t>
        </is>
      </c>
      <c r="B1172" s="1" t="n">
        <v>43601</v>
      </c>
      <c r="C1172" s="1" t="n">
        <v>45706</v>
      </c>
      <c r="D1172" t="inlineStr">
        <is>
          <t>DALARNAS LÄN</t>
        </is>
      </c>
      <c r="E1172" t="inlineStr">
        <is>
          <t>GAGNEF</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24586-2019</t>
        </is>
      </c>
      <c r="B1173" s="1" t="n">
        <v>43601</v>
      </c>
      <c r="C1173" s="1" t="n">
        <v>45706</v>
      </c>
      <c r="D1173" t="inlineStr">
        <is>
          <t>DALARNAS LÄN</t>
        </is>
      </c>
      <c r="E1173" t="inlineStr">
        <is>
          <t>BORLÄNGE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24960-2019</t>
        </is>
      </c>
      <c r="B1174" s="1" t="n">
        <v>43602</v>
      </c>
      <c r="C1174" s="1" t="n">
        <v>45706</v>
      </c>
      <c r="D1174" t="inlineStr">
        <is>
          <t>DALARNAS LÄN</t>
        </is>
      </c>
      <c r="E1174" t="inlineStr">
        <is>
          <t>MORA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25007-2019</t>
        </is>
      </c>
      <c r="B1175" s="1" t="n">
        <v>43602</v>
      </c>
      <c r="C1175" s="1" t="n">
        <v>45706</v>
      </c>
      <c r="D1175" t="inlineStr">
        <is>
          <t>DALARNAS LÄN</t>
        </is>
      </c>
      <c r="E1175" t="inlineStr">
        <is>
          <t>VANSBRO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25001-2019</t>
        </is>
      </c>
      <c r="B1176" s="1" t="n">
        <v>43602</v>
      </c>
      <c r="C1176" s="1" t="n">
        <v>45706</v>
      </c>
      <c r="D1176" t="inlineStr">
        <is>
          <t>DALARNAS LÄN</t>
        </is>
      </c>
      <c r="E1176" t="inlineStr">
        <is>
          <t>ÄLVDALEN</t>
        </is>
      </c>
      <c r="F1176" t="inlineStr">
        <is>
          <t>Kommuner</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24904-2019</t>
        </is>
      </c>
      <c r="B1177" s="1" t="n">
        <v>43602</v>
      </c>
      <c r="C1177" s="1" t="n">
        <v>45706</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25055-2019</t>
        </is>
      </c>
      <c r="B1178" s="1" t="n">
        <v>43604</v>
      </c>
      <c r="C1178" s="1" t="n">
        <v>45706</v>
      </c>
      <c r="D1178" t="inlineStr">
        <is>
          <t>DALARNAS LÄN</t>
        </is>
      </c>
      <c r="E1178" t="inlineStr">
        <is>
          <t>GAGNEF</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25110-2019</t>
        </is>
      </c>
      <c r="B1179" s="1" t="n">
        <v>43605</v>
      </c>
      <c r="C1179" s="1" t="n">
        <v>45706</v>
      </c>
      <c r="D1179" t="inlineStr">
        <is>
          <t>DALARNAS LÄN</t>
        </is>
      </c>
      <c r="E1179" t="inlineStr">
        <is>
          <t>FALUN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25116-2019</t>
        </is>
      </c>
      <c r="B1180" s="1" t="n">
        <v>43605</v>
      </c>
      <c r="C1180" s="1" t="n">
        <v>45706</v>
      </c>
      <c r="D1180" t="inlineStr">
        <is>
          <t>DALARNAS LÄN</t>
        </is>
      </c>
      <c r="E1180" t="inlineStr">
        <is>
          <t>LUDVIKA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25196-2019</t>
        </is>
      </c>
      <c r="B1181" s="1" t="n">
        <v>43605</v>
      </c>
      <c r="C1181" s="1" t="n">
        <v>45706</v>
      </c>
      <c r="D1181" t="inlineStr">
        <is>
          <t>DALARNAS LÄN</t>
        </is>
      </c>
      <c r="E1181" t="inlineStr">
        <is>
          <t>GAGNEF</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25197-2019</t>
        </is>
      </c>
      <c r="B1182" s="1" t="n">
        <v>43605</v>
      </c>
      <c r="C1182" s="1" t="n">
        <v>45706</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25193-2019</t>
        </is>
      </c>
      <c r="B1183" s="1" t="n">
        <v>43605</v>
      </c>
      <c r="C1183" s="1" t="n">
        <v>45706</v>
      </c>
      <c r="D1183" t="inlineStr">
        <is>
          <t>DALARNAS LÄN</t>
        </is>
      </c>
      <c r="E1183" t="inlineStr">
        <is>
          <t>AVESTA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25249-2019</t>
        </is>
      </c>
      <c r="B1184" s="1" t="n">
        <v>43605</v>
      </c>
      <c r="C1184" s="1" t="n">
        <v>45706</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25102-2019</t>
        </is>
      </c>
      <c r="B1185" s="1" t="n">
        <v>43605</v>
      </c>
      <c r="C1185" s="1" t="n">
        <v>45706</v>
      </c>
      <c r="D1185" t="inlineStr">
        <is>
          <t>DALARNAS LÄN</t>
        </is>
      </c>
      <c r="E1185" t="inlineStr">
        <is>
          <t>FALUN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25421-2019</t>
        </is>
      </c>
      <c r="B1186" s="1" t="n">
        <v>43606</v>
      </c>
      <c r="C1186" s="1" t="n">
        <v>45706</v>
      </c>
      <c r="D1186" t="inlineStr">
        <is>
          <t>DALARNAS LÄN</t>
        </is>
      </c>
      <c r="E1186" t="inlineStr">
        <is>
          <t>BORLÄNGE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25496-2019</t>
        </is>
      </c>
      <c r="B1187" s="1" t="n">
        <v>43606</v>
      </c>
      <c r="C1187" s="1" t="n">
        <v>45706</v>
      </c>
      <c r="D1187" t="inlineStr">
        <is>
          <t>DALARNAS LÄN</t>
        </is>
      </c>
      <c r="E1187" t="inlineStr">
        <is>
          <t>FALUN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25494-2019</t>
        </is>
      </c>
      <c r="B1188" s="1" t="n">
        <v>43606</v>
      </c>
      <c r="C1188" s="1" t="n">
        <v>45706</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25671-2019</t>
        </is>
      </c>
      <c r="B1189" s="1" t="n">
        <v>43607</v>
      </c>
      <c r="C1189" s="1" t="n">
        <v>45706</v>
      </c>
      <c r="D1189" t="inlineStr">
        <is>
          <t>DALARNAS LÄN</t>
        </is>
      </c>
      <c r="E1189" t="inlineStr">
        <is>
          <t>SMEDJEBACKEN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25710-2019</t>
        </is>
      </c>
      <c r="B1190" s="1" t="n">
        <v>43607</v>
      </c>
      <c r="C1190" s="1" t="n">
        <v>45706</v>
      </c>
      <c r="D1190" t="inlineStr">
        <is>
          <t>DALARNAS LÄN</t>
        </is>
      </c>
      <c r="E1190" t="inlineStr">
        <is>
          <t>GAGNEF</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25643-2019</t>
        </is>
      </c>
      <c r="B1191" s="1" t="n">
        <v>43607</v>
      </c>
      <c r="C1191" s="1" t="n">
        <v>45706</v>
      </c>
      <c r="D1191" t="inlineStr">
        <is>
          <t>DALARNAS LÄN</t>
        </is>
      </c>
      <c r="E1191" t="inlineStr">
        <is>
          <t>VANSBRO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25865-2019</t>
        </is>
      </c>
      <c r="B1192" s="1" t="n">
        <v>43608</v>
      </c>
      <c r="C1192" s="1" t="n">
        <v>45706</v>
      </c>
      <c r="D1192" t="inlineStr">
        <is>
          <t>DALARNAS LÄN</t>
        </is>
      </c>
      <c r="E1192" t="inlineStr">
        <is>
          <t>VANSBRO</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25851-2019</t>
        </is>
      </c>
      <c r="B1193" s="1" t="n">
        <v>43608</v>
      </c>
      <c r="C1193" s="1" t="n">
        <v>45706</v>
      </c>
      <c r="D1193" t="inlineStr">
        <is>
          <t>DALARNAS LÄN</t>
        </is>
      </c>
      <c r="E1193" t="inlineStr">
        <is>
          <t>FALUN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26162-2019</t>
        </is>
      </c>
      <c r="B1194" s="1" t="n">
        <v>43609</v>
      </c>
      <c r="C1194" s="1" t="n">
        <v>45706</v>
      </c>
      <c r="D1194" t="inlineStr">
        <is>
          <t>DALARNAS LÄN</t>
        </is>
      </c>
      <c r="E1194" t="inlineStr">
        <is>
          <t>HEDEMORA</t>
        </is>
      </c>
      <c r="F1194" t="inlineStr">
        <is>
          <t>Sveaskog</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26136-2019</t>
        </is>
      </c>
      <c r="B1195" s="1" t="n">
        <v>43609</v>
      </c>
      <c r="C1195" s="1" t="n">
        <v>45706</v>
      </c>
      <c r="D1195" t="inlineStr">
        <is>
          <t>DALARNAS LÄN</t>
        </is>
      </c>
      <c r="E1195" t="inlineStr">
        <is>
          <t>MALUNG-SÄLEN</t>
        </is>
      </c>
      <c r="F1195" t="inlineStr">
        <is>
          <t>Bergvik skog väst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26164-2019</t>
        </is>
      </c>
      <c r="B1196" s="1" t="n">
        <v>43609</v>
      </c>
      <c r="C1196" s="1" t="n">
        <v>45706</v>
      </c>
      <c r="D1196" t="inlineStr">
        <is>
          <t>DALARNAS LÄN</t>
        </is>
      </c>
      <c r="E1196" t="inlineStr">
        <is>
          <t>ÄLVDALEN</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26167-2019</t>
        </is>
      </c>
      <c r="B1197" s="1" t="n">
        <v>43609</v>
      </c>
      <c r="C1197" s="1" t="n">
        <v>45706</v>
      </c>
      <c r="D1197" t="inlineStr">
        <is>
          <t>DALARNAS LÄN</t>
        </is>
      </c>
      <c r="E1197" t="inlineStr">
        <is>
          <t>HEDEMORA</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26127-2019</t>
        </is>
      </c>
      <c r="B1198" s="1" t="n">
        <v>43609</v>
      </c>
      <c r="C1198" s="1" t="n">
        <v>45706</v>
      </c>
      <c r="D1198" t="inlineStr">
        <is>
          <t>DALARNAS LÄN</t>
        </is>
      </c>
      <c r="E1198" t="inlineStr">
        <is>
          <t>ÄLVDALEN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26973-2019</t>
        </is>
      </c>
      <c r="B1199" s="1" t="n">
        <v>43609</v>
      </c>
      <c r="C1199" s="1" t="n">
        <v>45706</v>
      </c>
      <c r="D1199" t="inlineStr">
        <is>
          <t>DALARNAS LÄN</t>
        </is>
      </c>
      <c r="E1199" t="inlineStr">
        <is>
          <t>RÄTTVIK</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27077-2019</t>
        </is>
      </c>
      <c r="B1200" s="1" t="n">
        <v>43609</v>
      </c>
      <c r="C1200" s="1" t="n">
        <v>45706</v>
      </c>
      <c r="D1200" t="inlineStr">
        <is>
          <t>DALARNAS LÄN</t>
        </is>
      </c>
      <c r="E1200" t="inlineStr">
        <is>
          <t>ÄLVDALEN</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26119-2019</t>
        </is>
      </c>
      <c r="B1201" s="1" t="n">
        <v>43609</v>
      </c>
      <c r="C1201" s="1" t="n">
        <v>45706</v>
      </c>
      <c r="D1201" t="inlineStr">
        <is>
          <t>DALARNAS LÄN</t>
        </is>
      </c>
      <c r="E1201" t="inlineStr">
        <is>
          <t>ORSA</t>
        </is>
      </c>
      <c r="F1201" t="inlineStr">
        <is>
          <t>Allmännings- och besparingsskogar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26103-2019</t>
        </is>
      </c>
      <c r="B1202" s="1" t="n">
        <v>43609</v>
      </c>
      <c r="C1202" s="1" t="n">
        <v>45706</v>
      </c>
      <c r="D1202" t="inlineStr">
        <is>
          <t>DALARNAS LÄN</t>
        </is>
      </c>
      <c r="E1202" t="inlineStr">
        <is>
          <t>ÄLVDALEN</t>
        </is>
      </c>
      <c r="G1202" t="n">
        <v>12.7</v>
      </c>
      <c r="H1202" t="n">
        <v>0</v>
      </c>
      <c r="I1202" t="n">
        <v>0</v>
      </c>
      <c r="J1202" t="n">
        <v>0</v>
      </c>
      <c r="K1202" t="n">
        <v>0</v>
      </c>
      <c r="L1202" t="n">
        <v>0</v>
      </c>
      <c r="M1202" t="n">
        <v>0</v>
      </c>
      <c r="N1202" t="n">
        <v>0</v>
      </c>
      <c r="O1202" t="n">
        <v>0</v>
      </c>
      <c r="P1202" t="n">
        <v>0</v>
      </c>
      <c r="Q1202" t="n">
        <v>0</v>
      </c>
      <c r="R1202" s="2" t="inlineStr"/>
    </row>
    <row r="1203" ht="15" customHeight="1">
      <c r="A1203" t="inlineStr">
        <is>
          <t>A 26258-2019</t>
        </is>
      </c>
      <c r="B1203" s="1" t="n">
        <v>43610</v>
      </c>
      <c r="C1203" s="1" t="n">
        <v>45706</v>
      </c>
      <c r="D1203" t="inlineStr">
        <is>
          <t>DALARNAS LÄN</t>
        </is>
      </c>
      <c r="E1203" t="inlineStr">
        <is>
          <t>MALUNG-SÄLEN</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26259-2019</t>
        </is>
      </c>
      <c r="B1204" s="1" t="n">
        <v>43610</v>
      </c>
      <c r="C1204" s="1" t="n">
        <v>45706</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26342-2019</t>
        </is>
      </c>
      <c r="B1205" s="1" t="n">
        <v>43612</v>
      </c>
      <c r="C1205" s="1" t="n">
        <v>45706</v>
      </c>
      <c r="D1205" t="inlineStr">
        <is>
          <t>DALARNAS LÄN</t>
        </is>
      </c>
      <c r="E1205" t="inlineStr">
        <is>
          <t>FALUN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26504-2019</t>
        </is>
      </c>
      <c r="B1206" s="1" t="n">
        <v>43612</v>
      </c>
      <c r="C1206" s="1" t="n">
        <v>45706</v>
      </c>
      <c r="D1206" t="inlineStr">
        <is>
          <t>DALARNAS LÄN</t>
        </is>
      </c>
      <c r="E1206" t="inlineStr">
        <is>
          <t>FALUN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26524-2019</t>
        </is>
      </c>
      <c r="B1207" s="1" t="n">
        <v>43612</v>
      </c>
      <c r="C1207" s="1" t="n">
        <v>45706</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27960-2019</t>
        </is>
      </c>
      <c r="B1208" s="1" t="n">
        <v>43612</v>
      </c>
      <c r="C1208" s="1" t="n">
        <v>45706</v>
      </c>
      <c r="D1208" t="inlineStr">
        <is>
          <t>DALARNAS LÄN</t>
        </is>
      </c>
      <c r="E1208" t="inlineStr">
        <is>
          <t>RÄTTVIK</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27188-2019</t>
        </is>
      </c>
      <c r="B1209" s="1" t="n">
        <v>43612</v>
      </c>
      <c r="C1209" s="1" t="n">
        <v>45706</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27959-2019</t>
        </is>
      </c>
      <c r="B1210" s="1" t="n">
        <v>43612</v>
      </c>
      <c r="C1210" s="1" t="n">
        <v>45706</v>
      </c>
      <c r="D1210" t="inlineStr">
        <is>
          <t>DALARNAS LÄN</t>
        </is>
      </c>
      <c r="E1210" t="inlineStr">
        <is>
          <t>RÄTTVIK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26619-2019</t>
        </is>
      </c>
      <c r="B1211" s="1" t="n">
        <v>43612</v>
      </c>
      <c r="C1211" s="1" t="n">
        <v>45706</v>
      </c>
      <c r="D1211" t="inlineStr">
        <is>
          <t>DALARNAS LÄN</t>
        </is>
      </c>
      <c r="E1211" t="inlineStr">
        <is>
          <t>FALUN</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28917-2019</t>
        </is>
      </c>
      <c r="B1212" s="1" t="n">
        <v>43612</v>
      </c>
      <c r="C1212" s="1" t="n">
        <v>45706</v>
      </c>
      <c r="D1212" t="inlineStr">
        <is>
          <t>DALARNAS LÄN</t>
        </is>
      </c>
      <c r="E1212" t="inlineStr">
        <is>
          <t>MORA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26591-2019</t>
        </is>
      </c>
      <c r="B1213" s="1" t="n">
        <v>43612</v>
      </c>
      <c r="C1213" s="1" t="n">
        <v>45706</v>
      </c>
      <c r="D1213" t="inlineStr">
        <is>
          <t>DALARNAS LÄN</t>
        </is>
      </c>
      <c r="E1213" t="inlineStr">
        <is>
          <t>GAGNEF</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26405-2019</t>
        </is>
      </c>
      <c r="B1214" s="1" t="n">
        <v>43612</v>
      </c>
      <c r="C1214" s="1" t="n">
        <v>45706</v>
      </c>
      <c r="D1214" t="inlineStr">
        <is>
          <t>DALARNAS LÄN</t>
        </is>
      </c>
      <c r="E1214" t="inlineStr">
        <is>
          <t>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26347-2019</t>
        </is>
      </c>
      <c r="B1215" s="1" t="n">
        <v>43612</v>
      </c>
      <c r="C1215" s="1" t="n">
        <v>45706</v>
      </c>
      <c r="D1215" t="inlineStr">
        <is>
          <t>DALARNAS LÄN</t>
        </is>
      </c>
      <c r="E1215" t="inlineStr">
        <is>
          <t>RÄTTVIK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26874-2019</t>
        </is>
      </c>
      <c r="B1216" s="1" t="n">
        <v>43613</v>
      </c>
      <c r="C1216" s="1" t="n">
        <v>45706</v>
      </c>
      <c r="D1216" t="inlineStr">
        <is>
          <t>DALARNAS LÄN</t>
        </is>
      </c>
      <c r="E1216" t="inlineStr">
        <is>
          <t>BORLÄNGE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26910-2019</t>
        </is>
      </c>
      <c r="B1217" s="1" t="n">
        <v>43613</v>
      </c>
      <c r="C1217" s="1" t="n">
        <v>45706</v>
      </c>
      <c r="D1217" t="inlineStr">
        <is>
          <t>DALARNAS LÄN</t>
        </is>
      </c>
      <c r="E1217" t="inlineStr">
        <is>
          <t>ÄLVDALEN</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26680-2019</t>
        </is>
      </c>
      <c r="B1218" s="1" t="n">
        <v>43613</v>
      </c>
      <c r="C1218" s="1" t="n">
        <v>45706</v>
      </c>
      <c r="D1218" t="inlineStr">
        <is>
          <t>DALARNAS LÄN</t>
        </is>
      </c>
      <c r="E1218" t="inlineStr">
        <is>
          <t>FALUN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27005-2019</t>
        </is>
      </c>
      <c r="B1219" s="1" t="n">
        <v>43614</v>
      </c>
      <c r="C1219" s="1" t="n">
        <v>45706</v>
      </c>
      <c r="D1219" t="inlineStr">
        <is>
          <t>DALARNAS LÄN</t>
        </is>
      </c>
      <c r="E1219" t="inlineStr">
        <is>
          <t>LUDVIKA</t>
        </is>
      </c>
      <c r="F1219" t="inlineStr">
        <is>
          <t>Bergvik skog väst AB</t>
        </is>
      </c>
      <c r="G1219" t="n">
        <v>22.4</v>
      </c>
      <c r="H1219" t="n">
        <v>0</v>
      </c>
      <c r="I1219" t="n">
        <v>0</v>
      </c>
      <c r="J1219" t="n">
        <v>0</v>
      </c>
      <c r="K1219" t="n">
        <v>0</v>
      </c>
      <c r="L1219" t="n">
        <v>0</v>
      </c>
      <c r="M1219" t="n">
        <v>0</v>
      </c>
      <c r="N1219" t="n">
        <v>0</v>
      </c>
      <c r="O1219" t="n">
        <v>0</v>
      </c>
      <c r="P1219" t="n">
        <v>0</v>
      </c>
      <c r="Q1219" t="n">
        <v>0</v>
      </c>
      <c r="R1219" s="2" t="inlineStr"/>
    </row>
    <row r="1220" ht="15" customHeight="1">
      <c r="A1220" t="inlineStr">
        <is>
          <t>A 27048-2019</t>
        </is>
      </c>
      <c r="B1220" s="1" t="n">
        <v>43614</v>
      </c>
      <c r="C1220" s="1" t="n">
        <v>45706</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27062-2019</t>
        </is>
      </c>
      <c r="B1221" s="1" t="n">
        <v>43614</v>
      </c>
      <c r="C1221" s="1" t="n">
        <v>45706</v>
      </c>
      <c r="D1221" t="inlineStr">
        <is>
          <t>DALARNAS LÄN</t>
        </is>
      </c>
      <c r="E1221" t="inlineStr">
        <is>
          <t>BORLÄNGE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27009-2019</t>
        </is>
      </c>
      <c r="B1222" s="1" t="n">
        <v>43614</v>
      </c>
      <c r="C1222" s="1" t="n">
        <v>45706</v>
      </c>
      <c r="D1222" t="inlineStr">
        <is>
          <t>DALARNAS LÄN</t>
        </is>
      </c>
      <c r="E1222" t="inlineStr">
        <is>
          <t>BORLÄNGE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27037-2019</t>
        </is>
      </c>
      <c r="B1223" s="1" t="n">
        <v>43614</v>
      </c>
      <c r="C1223" s="1" t="n">
        <v>45706</v>
      </c>
      <c r="D1223" t="inlineStr">
        <is>
          <t>DALARNAS LÄN</t>
        </is>
      </c>
      <c r="E1223" t="inlineStr">
        <is>
          <t>MALUNG-SÄLEN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27207-2019</t>
        </is>
      </c>
      <c r="B1224" s="1" t="n">
        <v>43614</v>
      </c>
      <c r="C1224" s="1" t="n">
        <v>45706</v>
      </c>
      <c r="D1224" t="inlineStr">
        <is>
          <t>DALARNAS LÄN</t>
        </is>
      </c>
      <c r="E1224" t="inlineStr">
        <is>
          <t>SÄTER</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27039-2019</t>
        </is>
      </c>
      <c r="B1225" s="1" t="n">
        <v>43614</v>
      </c>
      <c r="C1225" s="1" t="n">
        <v>45706</v>
      </c>
      <c r="D1225" t="inlineStr">
        <is>
          <t>DALARNAS LÄN</t>
        </is>
      </c>
      <c r="E1225" t="inlineStr">
        <is>
          <t>MALUNG-SÄLEN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28701-2019</t>
        </is>
      </c>
      <c r="B1226" s="1" t="n">
        <v>43614</v>
      </c>
      <c r="C1226" s="1" t="n">
        <v>45706</v>
      </c>
      <c r="D1226" t="inlineStr">
        <is>
          <t>DALARNAS LÄN</t>
        </is>
      </c>
      <c r="E1226" t="inlineStr">
        <is>
          <t>VANSBRO</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27008-2019</t>
        </is>
      </c>
      <c r="B1227" s="1" t="n">
        <v>43614</v>
      </c>
      <c r="C1227" s="1" t="n">
        <v>45706</v>
      </c>
      <c r="D1227" t="inlineStr">
        <is>
          <t>DALARNAS LÄN</t>
        </is>
      </c>
      <c r="E1227" t="inlineStr">
        <is>
          <t>BORLÄNGE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28708-2019</t>
        </is>
      </c>
      <c r="B1228" s="1" t="n">
        <v>43614</v>
      </c>
      <c r="C1228" s="1" t="n">
        <v>45706</v>
      </c>
      <c r="D1228" t="inlineStr">
        <is>
          <t>DALARNAS LÄN</t>
        </is>
      </c>
      <c r="E1228" t="inlineStr">
        <is>
          <t>VANSBRO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27278-2019</t>
        </is>
      </c>
      <c r="B1229" s="1" t="n">
        <v>43615</v>
      </c>
      <c r="C1229" s="1" t="n">
        <v>45706</v>
      </c>
      <c r="D1229" t="inlineStr">
        <is>
          <t>DALARNAS LÄN</t>
        </is>
      </c>
      <c r="E1229" t="inlineStr">
        <is>
          <t>FALUN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27354-2019</t>
        </is>
      </c>
      <c r="B1230" s="1" t="n">
        <v>43616</v>
      </c>
      <c r="C1230" s="1" t="n">
        <v>45706</v>
      </c>
      <c r="D1230" t="inlineStr">
        <is>
          <t>DALARNAS LÄN</t>
        </is>
      </c>
      <c r="E1230" t="inlineStr">
        <is>
          <t>SMEDJEBACKEN</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27312-2019</t>
        </is>
      </c>
      <c r="B1231" s="1" t="n">
        <v>43616</v>
      </c>
      <c r="C1231" s="1" t="n">
        <v>45706</v>
      </c>
      <c r="D1231" t="inlineStr">
        <is>
          <t>DALARNAS LÄN</t>
        </is>
      </c>
      <c r="E1231" t="inlineStr">
        <is>
          <t>AVESTA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27345-2019</t>
        </is>
      </c>
      <c r="B1232" s="1" t="n">
        <v>43616</v>
      </c>
      <c r="C1232" s="1" t="n">
        <v>45706</v>
      </c>
      <c r="D1232" t="inlineStr">
        <is>
          <t>DALARNAS LÄN</t>
        </is>
      </c>
      <c r="E1232" t="inlineStr">
        <is>
          <t>SMEDJEBACKEN</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27393-2019</t>
        </is>
      </c>
      <c r="B1233" s="1" t="n">
        <v>43616</v>
      </c>
      <c r="C1233" s="1" t="n">
        <v>45706</v>
      </c>
      <c r="D1233" t="inlineStr">
        <is>
          <t>DALARNAS LÄN</t>
        </is>
      </c>
      <c r="E1233" t="inlineStr">
        <is>
          <t>HEDEMORA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27351-2019</t>
        </is>
      </c>
      <c r="B1234" s="1" t="n">
        <v>43616</v>
      </c>
      <c r="C1234" s="1" t="n">
        <v>45706</v>
      </c>
      <c r="D1234" t="inlineStr">
        <is>
          <t>DALARNAS LÄN</t>
        </is>
      </c>
      <c r="E1234" t="inlineStr">
        <is>
          <t>SMEDJEBACKEN</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27376-2019</t>
        </is>
      </c>
      <c r="B1235" s="1" t="n">
        <v>43616</v>
      </c>
      <c r="C1235" s="1" t="n">
        <v>45706</v>
      </c>
      <c r="D1235" t="inlineStr">
        <is>
          <t>DALARNAS LÄN</t>
        </is>
      </c>
      <c r="E1235" t="inlineStr">
        <is>
          <t>SÄTER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27352-2019</t>
        </is>
      </c>
      <c r="B1236" s="1" t="n">
        <v>43616</v>
      </c>
      <c r="C1236" s="1" t="n">
        <v>45706</v>
      </c>
      <c r="D1236" t="inlineStr">
        <is>
          <t>DALARNAS LÄN</t>
        </is>
      </c>
      <c r="E1236" t="inlineStr">
        <is>
          <t>SMEDJEBACKEN</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28870-2019</t>
        </is>
      </c>
      <c r="B1237" s="1" t="n">
        <v>43616</v>
      </c>
      <c r="C1237" s="1" t="n">
        <v>45706</v>
      </c>
      <c r="D1237" t="inlineStr">
        <is>
          <t>DALARNAS LÄN</t>
        </is>
      </c>
      <c r="E1237" t="inlineStr">
        <is>
          <t>RÄTTVIK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27662-2019</t>
        </is>
      </c>
      <c r="B1238" s="1" t="n">
        <v>43619</v>
      </c>
      <c r="C1238" s="1" t="n">
        <v>45706</v>
      </c>
      <c r="D1238" t="inlineStr">
        <is>
          <t>DALARNAS LÄN</t>
        </is>
      </c>
      <c r="E1238" t="inlineStr">
        <is>
          <t>FALUN</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27720-2019</t>
        </is>
      </c>
      <c r="B1239" s="1" t="n">
        <v>43619</v>
      </c>
      <c r="C1239" s="1" t="n">
        <v>45706</v>
      </c>
      <c r="D1239" t="inlineStr">
        <is>
          <t>DALARNAS LÄN</t>
        </is>
      </c>
      <c r="E1239" t="inlineStr">
        <is>
          <t>ÄLVDALEN</t>
        </is>
      </c>
      <c r="F1239" t="inlineStr">
        <is>
          <t>Bergvik skog väst AB</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27722-2019</t>
        </is>
      </c>
      <c r="B1240" s="1" t="n">
        <v>43619</v>
      </c>
      <c r="C1240" s="1" t="n">
        <v>45706</v>
      </c>
      <c r="D1240" t="inlineStr">
        <is>
          <t>DALARNAS LÄN</t>
        </is>
      </c>
      <c r="E1240" t="inlineStr">
        <is>
          <t>RÄTTVIK</t>
        </is>
      </c>
      <c r="F1240" t="inlineStr">
        <is>
          <t>Bergvik skog väst AB</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27539-2019</t>
        </is>
      </c>
      <c r="B1241" s="1" t="n">
        <v>43619</v>
      </c>
      <c r="C1241" s="1" t="n">
        <v>45706</v>
      </c>
      <c r="D1241" t="inlineStr">
        <is>
          <t>DALARNAS LÄN</t>
        </is>
      </c>
      <c r="E1241" t="inlineStr">
        <is>
          <t>VANSBRO</t>
        </is>
      </c>
      <c r="F1241" t="inlineStr">
        <is>
          <t>Bergvik skog väst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27699-2019</t>
        </is>
      </c>
      <c r="B1242" s="1" t="n">
        <v>43619</v>
      </c>
      <c r="C1242" s="1" t="n">
        <v>45706</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28924-2019</t>
        </is>
      </c>
      <c r="B1243" s="1" t="n">
        <v>43619</v>
      </c>
      <c r="C1243" s="1" t="n">
        <v>45706</v>
      </c>
      <c r="D1243" t="inlineStr">
        <is>
          <t>DALARNAS LÄN</t>
        </is>
      </c>
      <c r="E1243" t="inlineStr">
        <is>
          <t>GAGNEF</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27487-2019</t>
        </is>
      </c>
      <c r="B1244" s="1" t="n">
        <v>43619</v>
      </c>
      <c r="C1244" s="1" t="n">
        <v>45706</v>
      </c>
      <c r="D1244" t="inlineStr">
        <is>
          <t>DALARNAS LÄN</t>
        </is>
      </c>
      <c r="E1244" t="inlineStr">
        <is>
          <t>MALUNG-SÄLEN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27691-2019</t>
        </is>
      </c>
      <c r="B1245" s="1" t="n">
        <v>43619</v>
      </c>
      <c r="C1245" s="1" t="n">
        <v>45706</v>
      </c>
      <c r="D1245" t="inlineStr">
        <is>
          <t>DALARNAS LÄN</t>
        </is>
      </c>
      <c r="E1245" t="inlineStr">
        <is>
          <t>ÄLVDALEN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27949-2019</t>
        </is>
      </c>
      <c r="B1246" s="1" t="n">
        <v>43620</v>
      </c>
      <c r="C1246" s="1" t="n">
        <v>45706</v>
      </c>
      <c r="D1246" t="inlineStr">
        <is>
          <t>DALARNAS LÄN</t>
        </is>
      </c>
      <c r="E1246" t="inlineStr">
        <is>
          <t>HEDEMORA</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28001-2019</t>
        </is>
      </c>
      <c r="B1247" s="1" t="n">
        <v>43621</v>
      </c>
      <c r="C1247" s="1" t="n">
        <v>45706</v>
      </c>
      <c r="D1247" t="inlineStr">
        <is>
          <t>DALARNAS LÄN</t>
        </is>
      </c>
      <c r="E1247" t="inlineStr">
        <is>
          <t>GAGNEF</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29022-2019</t>
        </is>
      </c>
      <c r="B1248" s="1" t="n">
        <v>43621</v>
      </c>
      <c r="C1248" s="1" t="n">
        <v>45706</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29231-2019</t>
        </is>
      </c>
      <c r="B1249" s="1" t="n">
        <v>43623</v>
      </c>
      <c r="C1249" s="1" t="n">
        <v>45706</v>
      </c>
      <c r="D1249" t="inlineStr">
        <is>
          <t>DALARNAS LÄN</t>
        </is>
      </c>
      <c r="E1249" t="inlineStr">
        <is>
          <t>MORA</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28259-2019</t>
        </is>
      </c>
      <c r="B1250" s="1" t="n">
        <v>43623</v>
      </c>
      <c r="C1250" s="1" t="n">
        <v>45706</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29200-2019</t>
        </is>
      </c>
      <c r="B1251" s="1" t="n">
        <v>43623</v>
      </c>
      <c r="C1251" s="1" t="n">
        <v>45706</v>
      </c>
      <c r="D1251" t="inlineStr">
        <is>
          <t>DALARNAS LÄN</t>
        </is>
      </c>
      <c r="E1251" t="inlineStr">
        <is>
          <t>RÄTTVIK</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28350-2019</t>
        </is>
      </c>
      <c r="B1252" s="1" t="n">
        <v>43624</v>
      </c>
      <c r="C1252" s="1" t="n">
        <v>45706</v>
      </c>
      <c r="D1252" t="inlineStr">
        <is>
          <t>DALARNAS LÄN</t>
        </is>
      </c>
      <c r="E1252" t="inlineStr">
        <is>
          <t>ÄLVDALEN</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28536-2019</t>
        </is>
      </c>
      <c r="B1253" s="1" t="n">
        <v>43626</v>
      </c>
      <c r="C1253" s="1" t="n">
        <v>45706</v>
      </c>
      <c r="D1253" t="inlineStr">
        <is>
          <t>DALARNAS LÄN</t>
        </is>
      </c>
      <c r="E1253" t="inlineStr">
        <is>
          <t>ÄLVDALEN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28544-2019</t>
        </is>
      </c>
      <c r="B1254" s="1" t="n">
        <v>43626</v>
      </c>
      <c r="C1254" s="1" t="n">
        <v>45706</v>
      </c>
      <c r="D1254" t="inlineStr">
        <is>
          <t>DALARNAS LÄN</t>
        </is>
      </c>
      <c r="E1254" t="inlineStr">
        <is>
          <t>ÄLVDALEN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28514-2019</t>
        </is>
      </c>
      <c r="B1255" s="1" t="n">
        <v>43626</v>
      </c>
      <c r="C1255" s="1" t="n">
        <v>45706</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28527-2019</t>
        </is>
      </c>
      <c r="B1256" s="1" t="n">
        <v>43626</v>
      </c>
      <c r="C1256" s="1" t="n">
        <v>45706</v>
      </c>
      <c r="D1256" t="inlineStr">
        <is>
          <t>DALARNAS LÄN</t>
        </is>
      </c>
      <c r="E1256" t="inlineStr">
        <is>
          <t>ÄLVDALEN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28549-2019</t>
        </is>
      </c>
      <c r="B1257" s="1" t="n">
        <v>43626</v>
      </c>
      <c r="C1257" s="1" t="n">
        <v>45706</v>
      </c>
      <c r="D1257" t="inlineStr">
        <is>
          <t>DALARNAS LÄN</t>
        </is>
      </c>
      <c r="E1257" t="inlineStr">
        <is>
          <t>ÄLVDALEN</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28464-2019</t>
        </is>
      </c>
      <c r="B1258" s="1" t="n">
        <v>43626</v>
      </c>
      <c r="C1258" s="1" t="n">
        <v>45706</v>
      </c>
      <c r="D1258" t="inlineStr">
        <is>
          <t>DALARNAS LÄN</t>
        </is>
      </c>
      <c r="E1258" t="inlineStr">
        <is>
          <t>ORSA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28696-2019</t>
        </is>
      </c>
      <c r="B1259" s="1" t="n">
        <v>43627</v>
      </c>
      <c r="C1259" s="1" t="n">
        <v>45706</v>
      </c>
      <c r="D1259" t="inlineStr">
        <is>
          <t>DALARNAS LÄN</t>
        </is>
      </c>
      <c r="E1259" t="inlineStr">
        <is>
          <t>HEDEMORA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28813-2019</t>
        </is>
      </c>
      <c r="B1260" s="1" t="n">
        <v>43627</v>
      </c>
      <c r="C1260" s="1" t="n">
        <v>45706</v>
      </c>
      <c r="D1260" t="inlineStr">
        <is>
          <t>DALARNAS LÄN</t>
        </is>
      </c>
      <c r="E1260" t="inlineStr">
        <is>
          <t>FALUN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29012-2019</t>
        </is>
      </c>
      <c r="B1261" s="1" t="n">
        <v>43628</v>
      </c>
      <c r="C1261" s="1" t="n">
        <v>45706</v>
      </c>
      <c r="D1261" t="inlineStr">
        <is>
          <t>DALARNAS LÄN</t>
        </is>
      </c>
      <c r="E1261" t="inlineStr">
        <is>
          <t>RÄTTVIK</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29061-2019</t>
        </is>
      </c>
      <c r="B1262" s="1" t="n">
        <v>43628</v>
      </c>
      <c r="C1262" s="1" t="n">
        <v>45706</v>
      </c>
      <c r="D1262" t="inlineStr">
        <is>
          <t>DALARNAS LÄN</t>
        </is>
      </c>
      <c r="E1262" t="inlineStr">
        <is>
          <t>AVESTA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29124-2019</t>
        </is>
      </c>
      <c r="B1263" s="1" t="n">
        <v>43628</v>
      </c>
      <c r="C1263" s="1" t="n">
        <v>45706</v>
      </c>
      <c r="D1263" t="inlineStr">
        <is>
          <t>DALARNAS LÄN</t>
        </is>
      </c>
      <c r="E1263" t="inlineStr">
        <is>
          <t>SMEDJEBACKEN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28948-2019</t>
        </is>
      </c>
      <c r="B1264" s="1" t="n">
        <v>43628</v>
      </c>
      <c r="C1264" s="1" t="n">
        <v>45706</v>
      </c>
      <c r="D1264" t="inlineStr">
        <is>
          <t>DALARNAS LÄN</t>
        </is>
      </c>
      <c r="E1264" t="inlineStr">
        <is>
          <t>RÄTTVIK</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29027-2019</t>
        </is>
      </c>
      <c r="B1265" s="1" t="n">
        <v>43628</v>
      </c>
      <c r="C1265" s="1" t="n">
        <v>45706</v>
      </c>
      <c r="D1265" t="inlineStr">
        <is>
          <t>DALARNAS LÄN</t>
        </is>
      </c>
      <c r="E1265" t="inlineStr">
        <is>
          <t>LUDVIKA</t>
        </is>
      </c>
      <c r="F1265" t="inlineStr">
        <is>
          <t>Bergvik skog väst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28965-2019</t>
        </is>
      </c>
      <c r="B1266" s="1" t="n">
        <v>43628</v>
      </c>
      <c r="C1266" s="1" t="n">
        <v>45706</v>
      </c>
      <c r="D1266" t="inlineStr">
        <is>
          <t>DALARNAS LÄN</t>
        </is>
      </c>
      <c r="E1266" t="inlineStr">
        <is>
          <t>ÄLVDALEN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29370-2019</t>
        </is>
      </c>
      <c r="B1267" s="1" t="n">
        <v>43629</v>
      </c>
      <c r="C1267" s="1" t="n">
        <v>45706</v>
      </c>
      <c r="D1267" t="inlineStr">
        <is>
          <t>DALARNAS LÄN</t>
        </is>
      </c>
      <c r="E1267" t="inlineStr">
        <is>
          <t>MORA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29395-2019</t>
        </is>
      </c>
      <c r="B1268" s="1" t="n">
        <v>43629</v>
      </c>
      <c r="C1268" s="1" t="n">
        <v>45706</v>
      </c>
      <c r="D1268" t="inlineStr">
        <is>
          <t>DALARNAS LÄN</t>
        </is>
      </c>
      <c r="E1268" t="inlineStr">
        <is>
          <t>MORA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29467-2019</t>
        </is>
      </c>
      <c r="B1269" s="1" t="n">
        <v>43629</v>
      </c>
      <c r="C1269" s="1" t="n">
        <v>45706</v>
      </c>
      <c r="D1269" t="inlineStr">
        <is>
          <t>DALARNAS LÄN</t>
        </is>
      </c>
      <c r="E1269" t="inlineStr">
        <is>
          <t>SMEDJEBACKEN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29880-2019</t>
        </is>
      </c>
      <c r="B1270" s="1" t="n">
        <v>43629</v>
      </c>
      <c r="C1270" s="1" t="n">
        <v>45706</v>
      </c>
      <c r="D1270" t="inlineStr">
        <is>
          <t>DALARNAS LÄN</t>
        </is>
      </c>
      <c r="E1270" t="inlineStr">
        <is>
          <t>RÄTTVIK</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29399-2019</t>
        </is>
      </c>
      <c r="B1271" s="1" t="n">
        <v>43629</v>
      </c>
      <c r="C1271" s="1" t="n">
        <v>45706</v>
      </c>
      <c r="D1271" t="inlineStr">
        <is>
          <t>DALARNAS LÄN</t>
        </is>
      </c>
      <c r="E1271" t="inlineStr">
        <is>
          <t>FALUN</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29283-2019</t>
        </is>
      </c>
      <c r="B1272" s="1" t="n">
        <v>43629</v>
      </c>
      <c r="C1272" s="1" t="n">
        <v>45706</v>
      </c>
      <c r="D1272" t="inlineStr">
        <is>
          <t>DALARNAS LÄN</t>
        </is>
      </c>
      <c r="E1272" t="inlineStr">
        <is>
          <t>VANSBRO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29661-2019</t>
        </is>
      </c>
      <c r="B1273" s="1" t="n">
        <v>43630</v>
      </c>
      <c r="C1273" s="1" t="n">
        <v>45706</v>
      </c>
      <c r="D1273" t="inlineStr">
        <is>
          <t>DALARNAS LÄN</t>
        </is>
      </c>
      <c r="E1273" t="inlineStr">
        <is>
          <t>SMEDJEBACKEN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30233-2019</t>
        </is>
      </c>
      <c r="B1274" s="1" t="n">
        <v>43630</v>
      </c>
      <c r="C1274" s="1" t="n">
        <v>45706</v>
      </c>
      <c r="D1274" t="inlineStr">
        <is>
          <t>DALARNAS LÄN</t>
        </is>
      </c>
      <c r="E1274" t="inlineStr">
        <is>
          <t>LUDVIKA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30102-2019</t>
        </is>
      </c>
      <c r="B1275" s="1" t="n">
        <v>43630</v>
      </c>
      <c r="C1275" s="1" t="n">
        <v>45706</v>
      </c>
      <c r="D1275" t="inlineStr">
        <is>
          <t>DALARNAS LÄN</t>
        </is>
      </c>
      <c r="E1275" t="inlineStr">
        <is>
          <t>LUDVIKA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29710-2019</t>
        </is>
      </c>
      <c r="B1276" s="1" t="n">
        <v>43630</v>
      </c>
      <c r="C1276" s="1" t="n">
        <v>45706</v>
      </c>
      <c r="D1276" t="inlineStr">
        <is>
          <t>DALARNAS LÄN</t>
        </is>
      </c>
      <c r="E1276" t="inlineStr">
        <is>
          <t>VANSBRO</t>
        </is>
      </c>
      <c r="F1276" t="inlineStr">
        <is>
          <t>Bergvik skog väst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29638-2019</t>
        </is>
      </c>
      <c r="B1277" s="1" t="n">
        <v>43630</v>
      </c>
      <c r="C1277" s="1" t="n">
        <v>45706</v>
      </c>
      <c r="D1277" t="inlineStr">
        <is>
          <t>DALARNAS LÄN</t>
        </is>
      </c>
      <c r="E1277" t="inlineStr">
        <is>
          <t>RÄTTVIK</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30121-2019</t>
        </is>
      </c>
      <c r="B1278" s="1" t="n">
        <v>43630</v>
      </c>
      <c r="C1278" s="1" t="n">
        <v>45706</v>
      </c>
      <c r="D1278" t="inlineStr">
        <is>
          <t>DALARNAS LÄN</t>
        </is>
      </c>
      <c r="E1278" t="inlineStr">
        <is>
          <t>LUDVIKA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29697-2019</t>
        </is>
      </c>
      <c r="B1279" s="1" t="n">
        <v>43630</v>
      </c>
      <c r="C1279" s="1" t="n">
        <v>45706</v>
      </c>
      <c r="D1279" t="inlineStr">
        <is>
          <t>DALARNAS LÄN</t>
        </is>
      </c>
      <c r="E1279" t="inlineStr">
        <is>
          <t>BORLÄNGE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29761-2019</t>
        </is>
      </c>
      <c r="B1280" s="1" t="n">
        <v>43631</v>
      </c>
      <c r="C1280" s="1" t="n">
        <v>45706</v>
      </c>
      <c r="D1280" t="inlineStr">
        <is>
          <t>DALARNAS LÄN</t>
        </is>
      </c>
      <c r="E1280" t="inlineStr">
        <is>
          <t>MALUNG-SÄLEN</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29760-2019</t>
        </is>
      </c>
      <c r="B1281" s="1" t="n">
        <v>43631</v>
      </c>
      <c r="C1281" s="1" t="n">
        <v>45706</v>
      </c>
      <c r="D1281" t="inlineStr">
        <is>
          <t>DALARNAS LÄN</t>
        </is>
      </c>
      <c r="E1281" t="inlineStr">
        <is>
          <t>MALUNG-SÄLEN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29868-2019</t>
        </is>
      </c>
      <c r="B1282" s="1" t="n">
        <v>43633</v>
      </c>
      <c r="C1282" s="1" t="n">
        <v>45706</v>
      </c>
      <c r="D1282" t="inlineStr">
        <is>
          <t>DALARNAS LÄN</t>
        </is>
      </c>
      <c r="E1282" t="inlineStr">
        <is>
          <t>AVESTA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29891-2019</t>
        </is>
      </c>
      <c r="B1283" s="1" t="n">
        <v>43633</v>
      </c>
      <c r="C1283" s="1" t="n">
        <v>45706</v>
      </c>
      <c r="D1283" t="inlineStr">
        <is>
          <t>DALARNAS LÄN</t>
        </is>
      </c>
      <c r="E1283" t="inlineStr">
        <is>
          <t>VANSBRO</t>
        </is>
      </c>
      <c r="F1283" t="inlineStr">
        <is>
          <t>Bergvik skog väst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29842-2019</t>
        </is>
      </c>
      <c r="B1284" s="1" t="n">
        <v>43633</v>
      </c>
      <c r="C1284" s="1" t="n">
        <v>45706</v>
      </c>
      <c r="D1284" t="inlineStr">
        <is>
          <t>DALARNAS LÄN</t>
        </is>
      </c>
      <c r="E1284" t="inlineStr">
        <is>
          <t>RÄTTVIK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30046-2019</t>
        </is>
      </c>
      <c r="B1285" s="1" t="n">
        <v>43633</v>
      </c>
      <c r="C1285" s="1" t="n">
        <v>45706</v>
      </c>
      <c r="D1285" t="inlineStr">
        <is>
          <t>DALARNAS LÄN</t>
        </is>
      </c>
      <c r="E1285" t="inlineStr">
        <is>
          <t>MALUNG-SÄLEN</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30250-2019</t>
        </is>
      </c>
      <c r="B1286" s="1" t="n">
        <v>43633</v>
      </c>
      <c r="C1286" s="1" t="n">
        <v>45706</v>
      </c>
      <c r="D1286" t="inlineStr">
        <is>
          <t>DALARNAS LÄN</t>
        </is>
      </c>
      <c r="E1286" t="inlineStr">
        <is>
          <t>RÄTTVIK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30302-2019</t>
        </is>
      </c>
      <c r="B1287" s="1" t="n">
        <v>43633</v>
      </c>
      <c r="C1287" s="1" t="n">
        <v>45706</v>
      </c>
      <c r="D1287" t="inlineStr">
        <is>
          <t>DALARNAS LÄN</t>
        </is>
      </c>
      <c r="E1287" t="inlineStr">
        <is>
          <t>SÄTER</t>
        </is>
      </c>
      <c r="F1287" t="inlineStr">
        <is>
          <t>Bergvik skog väst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30307-2019</t>
        </is>
      </c>
      <c r="B1288" s="1" t="n">
        <v>43633</v>
      </c>
      <c r="C1288" s="1" t="n">
        <v>45706</v>
      </c>
      <c r="D1288" t="inlineStr">
        <is>
          <t>DALARNAS LÄN</t>
        </is>
      </c>
      <c r="E1288" t="inlineStr">
        <is>
          <t>SÄTER</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29827-2019</t>
        </is>
      </c>
      <c r="B1289" s="1" t="n">
        <v>43633</v>
      </c>
      <c r="C1289" s="1" t="n">
        <v>45706</v>
      </c>
      <c r="D1289" t="inlineStr">
        <is>
          <t>DALARNAS LÄN</t>
        </is>
      </c>
      <c r="E1289" t="inlineStr">
        <is>
          <t>GAGNEF</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30040-2019</t>
        </is>
      </c>
      <c r="B1290" s="1" t="n">
        <v>43633</v>
      </c>
      <c r="C1290" s="1" t="n">
        <v>45706</v>
      </c>
      <c r="D1290" t="inlineStr">
        <is>
          <t>DALARNAS LÄN</t>
        </is>
      </c>
      <c r="E1290" t="inlineStr">
        <is>
          <t>LUDVIKA</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30203-2019</t>
        </is>
      </c>
      <c r="B1291" s="1" t="n">
        <v>43634</v>
      </c>
      <c r="C1291" s="1" t="n">
        <v>45706</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30295-2019</t>
        </is>
      </c>
      <c r="B1292" s="1" t="n">
        <v>43634</v>
      </c>
      <c r="C1292" s="1" t="n">
        <v>45706</v>
      </c>
      <c r="D1292" t="inlineStr">
        <is>
          <t>DALARNAS LÄN</t>
        </is>
      </c>
      <c r="E1292" t="inlineStr">
        <is>
          <t>MALUNG-SÄLEN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30171-2019</t>
        </is>
      </c>
      <c r="B1293" s="1" t="n">
        <v>43634</v>
      </c>
      <c r="C1293" s="1" t="n">
        <v>45706</v>
      </c>
      <c r="D1293" t="inlineStr">
        <is>
          <t>DALARNAS LÄN</t>
        </is>
      </c>
      <c r="E1293" t="inlineStr">
        <is>
          <t>SÄTER</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30144-2019</t>
        </is>
      </c>
      <c r="B1294" s="1" t="n">
        <v>43634</v>
      </c>
      <c r="C1294" s="1" t="n">
        <v>45706</v>
      </c>
      <c r="D1294" t="inlineStr">
        <is>
          <t>DALARNAS LÄN</t>
        </is>
      </c>
      <c r="E1294" t="inlineStr">
        <is>
          <t>SÄTER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30230-2019</t>
        </is>
      </c>
      <c r="B1295" s="1" t="n">
        <v>43634</v>
      </c>
      <c r="C1295" s="1" t="n">
        <v>45706</v>
      </c>
      <c r="D1295" t="inlineStr">
        <is>
          <t>DALARNAS LÄN</t>
        </is>
      </c>
      <c r="E1295" t="inlineStr">
        <is>
          <t>MALUNG-SÄLEN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30487-2019</t>
        </is>
      </c>
      <c r="B1296" s="1" t="n">
        <v>43635</v>
      </c>
      <c r="C1296" s="1" t="n">
        <v>45706</v>
      </c>
      <c r="D1296" t="inlineStr">
        <is>
          <t>DALARNAS LÄN</t>
        </is>
      </c>
      <c r="E1296" t="inlineStr">
        <is>
          <t>MORA</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30506-2019</t>
        </is>
      </c>
      <c r="B1297" s="1" t="n">
        <v>43635</v>
      </c>
      <c r="C1297" s="1" t="n">
        <v>45706</v>
      </c>
      <c r="D1297" t="inlineStr">
        <is>
          <t>DALARNAS LÄN</t>
        </is>
      </c>
      <c r="E1297" t="inlineStr">
        <is>
          <t>ÄLVDALEN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30522-2019</t>
        </is>
      </c>
      <c r="B1298" s="1" t="n">
        <v>43635</v>
      </c>
      <c r="C1298" s="1" t="n">
        <v>45706</v>
      </c>
      <c r="D1298" t="inlineStr">
        <is>
          <t>DALARNAS LÄN</t>
        </is>
      </c>
      <c r="E1298" t="inlineStr">
        <is>
          <t>GAGNEF</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30497-2019</t>
        </is>
      </c>
      <c r="B1299" s="1" t="n">
        <v>43635</v>
      </c>
      <c r="C1299" s="1" t="n">
        <v>45706</v>
      </c>
      <c r="D1299" t="inlineStr">
        <is>
          <t>DALARNAS LÄN</t>
        </is>
      </c>
      <c r="E1299" t="inlineStr">
        <is>
          <t>HEDEMORA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30558-2019</t>
        </is>
      </c>
      <c r="B1300" s="1" t="n">
        <v>43635</v>
      </c>
      <c r="C1300" s="1" t="n">
        <v>45706</v>
      </c>
      <c r="D1300" t="inlineStr">
        <is>
          <t>DALARNAS LÄN</t>
        </is>
      </c>
      <c r="E1300" t="inlineStr">
        <is>
          <t>MORA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30585-2019</t>
        </is>
      </c>
      <c r="B1301" s="1" t="n">
        <v>43635</v>
      </c>
      <c r="C1301" s="1" t="n">
        <v>45706</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30665-2019</t>
        </is>
      </c>
      <c r="B1302" s="1" t="n">
        <v>43636</v>
      </c>
      <c r="C1302" s="1" t="n">
        <v>45706</v>
      </c>
      <c r="D1302" t="inlineStr">
        <is>
          <t>DALARNAS LÄN</t>
        </is>
      </c>
      <c r="E1302" t="inlineStr">
        <is>
          <t>MORA</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30666-2019</t>
        </is>
      </c>
      <c r="B1303" s="1" t="n">
        <v>43636</v>
      </c>
      <c r="C1303" s="1" t="n">
        <v>45706</v>
      </c>
      <c r="D1303" t="inlineStr">
        <is>
          <t>DALARNAS LÄN</t>
        </is>
      </c>
      <c r="E1303" t="inlineStr">
        <is>
          <t>FALUN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30674-2019</t>
        </is>
      </c>
      <c r="B1304" s="1" t="n">
        <v>43636</v>
      </c>
      <c r="C1304" s="1" t="n">
        <v>45706</v>
      </c>
      <c r="D1304" t="inlineStr">
        <is>
          <t>DALARNAS LÄN</t>
        </is>
      </c>
      <c r="E1304" t="inlineStr">
        <is>
          <t>MORA</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30680-2019</t>
        </is>
      </c>
      <c r="B1305" s="1" t="n">
        <v>43636</v>
      </c>
      <c r="C1305" s="1" t="n">
        <v>45706</v>
      </c>
      <c r="D1305" t="inlineStr">
        <is>
          <t>DALARNAS LÄN</t>
        </is>
      </c>
      <c r="E1305" t="inlineStr">
        <is>
          <t>FALUN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30828-2019</t>
        </is>
      </c>
      <c r="B1306" s="1" t="n">
        <v>43636</v>
      </c>
      <c r="C1306" s="1" t="n">
        <v>45706</v>
      </c>
      <c r="D1306" t="inlineStr">
        <is>
          <t>DALARNAS LÄN</t>
        </is>
      </c>
      <c r="E1306" t="inlineStr">
        <is>
          <t>MALUNG-SÄLEN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30747-2019</t>
        </is>
      </c>
      <c r="B1307" s="1" t="n">
        <v>43636</v>
      </c>
      <c r="C1307" s="1" t="n">
        <v>45706</v>
      </c>
      <c r="D1307" t="inlineStr">
        <is>
          <t>DALARNAS LÄN</t>
        </is>
      </c>
      <c r="E1307" t="inlineStr">
        <is>
          <t>SÄTER</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30887-2019</t>
        </is>
      </c>
      <c r="B1308" s="1" t="n">
        <v>43636</v>
      </c>
      <c r="C1308" s="1" t="n">
        <v>45706</v>
      </c>
      <c r="D1308" t="inlineStr">
        <is>
          <t>DALARNAS LÄN</t>
        </is>
      </c>
      <c r="E1308" t="inlineStr">
        <is>
          <t>LUDVIKA</t>
        </is>
      </c>
      <c r="F1308" t="inlineStr">
        <is>
          <t>Bergvik skog väst AB</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31365-2019</t>
        </is>
      </c>
      <c r="B1309" s="1" t="n">
        <v>43636</v>
      </c>
      <c r="C1309" s="1" t="n">
        <v>45706</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30734-2019</t>
        </is>
      </c>
      <c r="B1310" s="1" t="n">
        <v>43636</v>
      </c>
      <c r="C1310" s="1" t="n">
        <v>45706</v>
      </c>
      <c r="D1310" t="inlineStr">
        <is>
          <t>DALARNAS LÄN</t>
        </is>
      </c>
      <c r="E1310" t="inlineStr">
        <is>
          <t>GAGNEF</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30687-2019</t>
        </is>
      </c>
      <c r="B1311" s="1" t="n">
        <v>43636</v>
      </c>
      <c r="C1311" s="1" t="n">
        <v>45706</v>
      </c>
      <c r="D1311" t="inlineStr">
        <is>
          <t>DALARNAS LÄN</t>
        </is>
      </c>
      <c r="E1311" t="inlineStr">
        <is>
          <t>HEDEMORA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31007-2019</t>
        </is>
      </c>
      <c r="B1312" s="1" t="n">
        <v>43640</v>
      </c>
      <c r="C1312" s="1" t="n">
        <v>45706</v>
      </c>
      <c r="D1312" t="inlineStr">
        <is>
          <t>DALARNAS LÄN</t>
        </is>
      </c>
      <c r="E1312" t="inlineStr">
        <is>
          <t>MORA</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31099-2019</t>
        </is>
      </c>
      <c r="B1313" s="1" t="n">
        <v>43640</v>
      </c>
      <c r="C1313" s="1" t="n">
        <v>45706</v>
      </c>
      <c r="D1313" t="inlineStr">
        <is>
          <t>DALARNAS LÄN</t>
        </is>
      </c>
      <c r="E1313" t="inlineStr">
        <is>
          <t>ORSA</t>
        </is>
      </c>
      <c r="F1313" t="inlineStr">
        <is>
          <t>Allmännings- och besparingsskogar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31143-2019</t>
        </is>
      </c>
      <c r="B1314" s="1" t="n">
        <v>43640</v>
      </c>
      <c r="C1314" s="1" t="n">
        <v>45706</v>
      </c>
      <c r="D1314" t="inlineStr">
        <is>
          <t>DALARNAS LÄN</t>
        </is>
      </c>
      <c r="E1314" t="inlineStr">
        <is>
          <t>FALUN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31170-2019</t>
        </is>
      </c>
      <c r="B1315" s="1" t="n">
        <v>43640</v>
      </c>
      <c r="C1315" s="1" t="n">
        <v>45706</v>
      </c>
      <c r="D1315" t="inlineStr">
        <is>
          <t>DALARNAS LÄN</t>
        </is>
      </c>
      <c r="E1315" t="inlineStr">
        <is>
          <t>GAGNEF</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31247-2019</t>
        </is>
      </c>
      <c r="B1316" s="1" t="n">
        <v>43640</v>
      </c>
      <c r="C1316" s="1" t="n">
        <v>45706</v>
      </c>
      <c r="D1316" t="inlineStr">
        <is>
          <t>DALARNAS LÄN</t>
        </is>
      </c>
      <c r="E1316" t="inlineStr">
        <is>
          <t>GAGNEF</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31160-2019</t>
        </is>
      </c>
      <c r="B1317" s="1" t="n">
        <v>43640</v>
      </c>
      <c r="C1317" s="1" t="n">
        <v>45706</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31035-2019</t>
        </is>
      </c>
      <c r="B1318" s="1" t="n">
        <v>43640</v>
      </c>
      <c r="C1318" s="1" t="n">
        <v>45706</v>
      </c>
      <c r="D1318" t="inlineStr">
        <is>
          <t>DALARNAS LÄN</t>
        </is>
      </c>
      <c r="E1318" t="inlineStr">
        <is>
          <t>AVESTA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31478-2019</t>
        </is>
      </c>
      <c r="B1319" s="1" t="n">
        <v>43641</v>
      </c>
      <c r="C1319" s="1" t="n">
        <v>45706</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31399-2019</t>
        </is>
      </c>
      <c r="B1320" s="1" t="n">
        <v>43641</v>
      </c>
      <c r="C1320" s="1" t="n">
        <v>45706</v>
      </c>
      <c r="D1320" t="inlineStr">
        <is>
          <t>DALARNAS LÄN</t>
        </is>
      </c>
      <c r="E1320" t="inlineStr">
        <is>
          <t>VANSBRO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31472-2019</t>
        </is>
      </c>
      <c r="B1321" s="1" t="n">
        <v>43641</v>
      </c>
      <c r="C1321" s="1" t="n">
        <v>45706</v>
      </c>
      <c r="D1321" t="inlineStr">
        <is>
          <t>DALARNAS LÄN</t>
        </is>
      </c>
      <c r="E1321" t="inlineStr">
        <is>
          <t>FALUN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31549-2019</t>
        </is>
      </c>
      <c r="B1322" s="1" t="n">
        <v>43641</v>
      </c>
      <c r="C1322" s="1" t="n">
        <v>45706</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31455-2019</t>
        </is>
      </c>
      <c r="B1323" s="1" t="n">
        <v>43641</v>
      </c>
      <c r="C1323" s="1" t="n">
        <v>45706</v>
      </c>
      <c r="D1323" t="inlineStr">
        <is>
          <t>DALARNAS LÄN</t>
        </is>
      </c>
      <c r="E1323" t="inlineStr">
        <is>
          <t>GAGNEF</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31786-2019</t>
        </is>
      </c>
      <c r="B1324" s="1" t="n">
        <v>43642</v>
      </c>
      <c r="C1324" s="1" t="n">
        <v>45706</v>
      </c>
      <c r="D1324" t="inlineStr">
        <is>
          <t>DALARNAS LÄN</t>
        </is>
      </c>
      <c r="E1324" t="inlineStr">
        <is>
          <t>MORA</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31732-2019</t>
        </is>
      </c>
      <c r="B1325" s="1" t="n">
        <v>43642</v>
      </c>
      <c r="C1325" s="1" t="n">
        <v>45706</v>
      </c>
      <c r="D1325" t="inlineStr">
        <is>
          <t>DALARNAS LÄN</t>
        </is>
      </c>
      <c r="E1325" t="inlineStr">
        <is>
          <t>GAGNEF</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31823-2019</t>
        </is>
      </c>
      <c r="B1326" s="1" t="n">
        <v>43642</v>
      </c>
      <c r="C1326" s="1" t="n">
        <v>45706</v>
      </c>
      <c r="D1326" t="inlineStr">
        <is>
          <t>DALARNAS LÄN</t>
        </is>
      </c>
      <c r="E1326" t="inlineStr">
        <is>
          <t>GAGNEF</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31847-2019</t>
        </is>
      </c>
      <c r="B1327" s="1" t="n">
        <v>43642</v>
      </c>
      <c r="C1327" s="1" t="n">
        <v>45706</v>
      </c>
      <c r="D1327" t="inlineStr">
        <is>
          <t>DALARNAS LÄN</t>
        </is>
      </c>
      <c r="E1327" t="inlineStr">
        <is>
          <t>FALUN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31833-2019</t>
        </is>
      </c>
      <c r="B1328" s="1" t="n">
        <v>43642</v>
      </c>
      <c r="C1328" s="1" t="n">
        <v>45706</v>
      </c>
      <c r="D1328" t="inlineStr">
        <is>
          <t>DALARNAS LÄN</t>
        </is>
      </c>
      <c r="E1328" t="inlineStr">
        <is>
          <t>BORLÄNGE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31850-2019</t>
        </is>
      </c>
      <c r="B1329" s="1" t="n">
        <v>43642</v>
      </c>
      <c r="C1329" s="1" t="n">
        <v>45706</v>
      </c>
      <c r="D1329" t="inlineStr">
        <is>
          <t>DALARNAS LÄN</t>
        </is>
      </c>
      <c r="E1329" t="inlineStr">
        <is>
          <t>FALUN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31932-2019</t>
        </is>
      </c>
      <c r="B1330" s="1" t="n">
        <v>43642</v>
      </c>
      <c r="C1330" s="1" t="n">
        <v>45706</v>
      </c>
      <c r="D1330" t="inlineStr">
        <is>
          <t>DALARNAS LÄN</t>
        </is>
      </c>
      <c r="E1330" t="inlineStr">
        <is>
          <t>AVESTA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31956-2019</t>
        </is>
      </c>
      <c r="B1331" s="1" t="n">
        <v>43643</v>
      </c>
      <c r="C1331" s="1" t="n">
        <v>45706</v>
      </c>
      <c r="D1331" t="inlineStr">
        <is>
          <t>DALARNAS LÄN</t>
        </is>
      </c>
      <c r="E1331" t="inlineStr">
        <is>
          <t>ORSA</t>
        </is>
      </c>
      <c r="F1331" t="inlineStr">
        <is>
          <t>Bergvik skog öst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32138-2019</t>
        </is>
      </c>
      <c r="B1332" s="1" t="n">
        <v>43643</v>
      </c>
      <c r="C1332" s="1" t="n">
        <v>45706</v>
      </c>
      <c r="D1332" t="inlineStr">
        <is>
          <t>DALARNAS LÄN</t>
        </is>
      </c>
      <c r="E1332" t="inlineStr">
        <is>
          <t>SMEDJEBACKEN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32158-2019</t>
        </is>
      </c>
      <c r="B1333" s="1" t="n">
        <v>43643</v>
      </c>
      <c r="C1333" s="1" t="n">
        <v>45706</v>
      </c>
      <c r="D1333" t="inlineStr">
        <is>
          <t>DALARNAS LÄN</t>
        </is>
      </c>
      <c r="E1333" t="inlineStr">
        <is>
          <t>RÄTTVIK</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32136-2019</t>
        </is>
      </c>
      <c r="B1334" s="1" t="n">
        <v>43643</v>
      </c>
      <c r="C1334" s="1" t="n">
        <v>45706</v>
      </c>
      <c r="D1334" t="inlineStr">
        <is>
          <t>DALARNAS LÄN</t>
        </is>
      </c>
      <c r="E1334" t="inlineStr">
        <is>
          <t>MALUNG-SÄLEN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32157-2019</t>
        </is>
      </c>
      <c r="B1335" s="1" t="n">
        <v>43643</v>
      </c>
      <c r="C1335" s="1" t="n">
        <v>45706</v>
      </c>
      <c r="D1335" t="inlineStr">
        <is>
          <t>DALARNAS LÄN</t>
        </is>
      </c>
      <c r="E1335" t="inlineStr">
        <is>
          <t>RÄTTVIK</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32085-2019</t>
        </is>
      </c>
      <c r="B1336" s="1" t="n">
        <v>43643</v>
      </c>
      <c r="C1336" s="1" t="n">
        <v>45706</v>
      </c>
      <c r="D1336" t="inlineStr">
        <is>
          <t>DALARNAS LÄN</t>
        </is>
      </c>
      <c r="E1336" t="inlineStr">
        <is>
          <t>MORA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32124-2019</t>
        </is>
      </c>
      <c r="B1337" s="1" t="n">
        <v>43643</v>
      </c>
      <c r="C1337" s="1" t="n">
        <v>45706</v>
      </c>
      <c r="D1337" t="inlineStr">
        <is>
          <t>DALARNAS LÄN</t>
        </is>
      </c>
      <c r="E1337" t="inlineStr">
        <is>
          <t>MALUNG-SÄLEN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32347-2019</t>
        </is>
      </c>
      <c r="B1338" s="1" t="n">
        <v>43644</v>
      </c>
      <c r="C1338" s="1" t="n">
        <v>45706</v>
      </c>
      <c r="D1338" t="inlineStr">
        <is>
          <t>DALARNAS LÄN</t>
        </is>
      </c>
      <c r="E1338" t="inlineStr">
        <is>
          <t>ÄLVDALEN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32357-2019</t>
        </is>
      </c>
      <c r="B1339" s="1" t="n">
        <v>43644</v>
      </c>
      <c r="C1339" s="1" t="n">
        <v>45706</v>
      </c>
      <c r="D1339" t="inlineStr">
        <is>
          <t>DALARNAS LÄN</t>
        </is>
      </c>
      <c r="E1339" t="inlineStr">
        <is>
          <t>ÄLVDALEN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32441-2019</t>
        </is>
      </c>
      <c r="B1340" s="1" t="n">
        <v>43644</v>
      </c>
      <c r="C1340" s="1" t="n">
        <v>45706</v>
      </c>
      <c r="D1340" t="inlineStr">
        <is>
          <t>DALARNAS LÄN</t>
        </is>
      </c>
      <c r="E1340" t="inlineStr">
        <is>
          <t>AVESTA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32359-2019</t>
        </is>
      </c>
      <c r="B1341" s="1" t="n">
        <v>43644</v>
      </c>
      <c r="C1341" s="1" t="n">
        <v>45706</v>
      </c>
      <c r="D1341" t="inlineStr">
        <is>
          <t>DALARNAS LÄN</t>
        </is>
      </c>
      <c r="E1341" t="inlineStr">
        <is>
          <t>ÄLVDALEN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32463-2019</t>
        </is>
      </c>
      <c r="B1342" s="1" t="n">
        <v>43644</v>
      </c>
      <c r="C1342" s="1" t="n">
        <v>45706</v>
      </c>
      <c r="D1342" t="inlineStr">
        <is>
          <t>DALARNAS LÄN</t>
        </is>
      </c>
      <c r="E1342" t="inlineStr">
        <is>
          <t>GAGNEF</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32457-2019</t>
        </is>
      </c>
      <c r="B1343" s="1" t="n">
        <v>43644</v>
      </c>
      <c r="C1343" s="1" t="n">
        <v>45706</v>
      </c>
      <c r="D1343" t="inlineStr">
        <is>
          <t>DALARNAS LÄN</t>
        </is>
      </c>
      <c r="E1343" t="inlineStr">
        <is>
          <t>SMEDJEBACKEN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32326-2019</t>
        </is>
      </c>
      <c r="B1344" s="1" t="n">
        <v>43644</v>
      </c>
      <c r="C1344" s="1" t="n">
        <v>45706</v>
      </c>
      <c r="D1344" t="inlineStr">
        <is>
          <t>DALARNAS LÄN</t>
        </is>
      </c>
      <c r="E1344" t="inlineStr">
        <is>
          <t>GAGNEF</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32532-2019</t>
        </is>
      </c>
      <c r="B1345" s="1" t="n">
        <v>43646</v>
      </c>
      <c r="C1345" s="1" t="n">
        <v>45706</v>
      </c>
      <c r="D1345" t="inlineStr">
        <is>
          <t>DALARNAS LÄN</t>
        </is>
      </c>
      <c r="E1345" t="inlineStr">
        <is>
          <t>LEKSAND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34243-2019</t>
        </is>
      </c>
      <c r="B1346" s="1" t="n">
        <v>43647</v>
      </c>
      <c r="C1346" s="1" t="n">
        <v>45706</v>
      </c>
      <c r="D1346" t="inlineStr">
        <is>
          <t>DALARNAS LÄN</t>
        </is>
      </c>
      <c r="E1346" t="inlineStr">
        <is>
          <t>MALUNG-SÄLEN</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34149-2019</t>
        </is>
      </c>
      <c r="B1347" s="1" t="n">
        <v>43647</v>
      </c>
      <c r="C1347" s="1" t="n">
        <v>45706</v>
      </c>
      <c r="D1347" t="inlineStr">
        <is>
          <t>DALARNAS LÄN</t>
        </is>
      </c>
      <c r="E1347" t="inlineStr">
        <is>
          <t>RÄTTVIK</t>
        </is>
      </c>
      <c r="F1347" t="inlineStr">
        <is>
          <t>Kommuner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32670-2019</t>
        </is>
      </c>
      <c r="B1348" s="1" t="n">
        <v>43647</v>
      </c>
      <c r="C1348" s="1" t="n">
        <v>45706</v>
      </c>
      <c r="D1348" t="inlineStr">
        <is>
          <t>DALARNAS LÄN</t>
        </is>
      </c>
      <c r="E1348" t="inlineStr">
        <is>
          <t>ÄLVDALEN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32826-2019</t>
        </is>
      </c>
      <c r="B1349" s="1" t="n">
        <v>43648</v>
      </c>
      <c r="C1349" s="1" t="n">
        <v>45706</v>
      </c>
      <c r="D1349" t="inlineStr">
        <is>
          <t>DALARNAS LÄN</t>
        </is>
      </c>
      <c r="E1349" t="inlineStr">
        <is>
          <t>BORLÄNGE</t>
        </is>
      </c>
      <c r="F1349" t="inlineStr">
        <is>
          <t>Kommuner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32933-2019</t>
        </is>
      </c>
      <c r="B1350" s="1" t="n">
        <v>43648</v>
      </c>
      <c r="C1350" s="1" t="n">
        <v>45706</v>
      </c>
      <c r="D1350" t="inlineStr">
        <is>
          <t>DALARNAS LÄN</t>
        </is>
      </c>
      <c r="E1350" t="inlineStr">
        <is>
          <t>ORSA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32922-2019</t>
        </is>
      </c>
      <c r="B1351" s="1" t="n">
        <v>43648</v>
      </c>
      <c r="C1351" s="1" t="n">
        <v>45706</v>
      </c>
      <c r="D1351" t="inlineStr">
        <is>
          <t>DALARNAS LÄN</t>
        </is>
      </c>
      <c r="E1351" t="inlineStr">
        <is>
          <t>GAGNEF</t>
        </is>
      </c>
      <c r="F1351" t="inlineStr">
        <is>
          <t>Bergvik skog väst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33184-2019</t>
        </is>
      </c>
      <c r="B1352" s="1" t="n">
        <v>43649</v>
      </c>
      <c r="C1352" s="1" t="n">
        <v>45706</v>
      </c>
      <c r="D1352" t="inlineStr">
        <is>
          <t>DALARNAS LÄN</t>
        </is>
      </c>
      <c r="E1352" t="inlineStr">
        <is>
          <t>MORA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33003-2019</t>
        </is>
      </c>
      <c r="B1353" s="1" t="n">
        <v>43649</v>
      </c>
      <c r="C1353" s="1" t="n">
        <v>45706</v>
      </c>
      <c r="D1353" t="inlineStr">
        <is>
          <t>DALARNAS LÄN</t>
        </is>
      </c>
      <c r="E1353" t="inlineStr">
        <is>
          <t>BORLÄNGE</t>
        </is>
      </c>
      <c r="F1353" t="inlineStr">
        <is>
          <t>Kommuner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33187-2019</t>
        </is>
      </c>
      <c r="B1354" s="1" t="n">
        <v>43649</v>
      </c>
      <c r="C1354" s="1" t="n">
        <v>45706</v>
      </c>
      <c r="D1354" t="inlineStr">
        <is>
          <t>DALARNAS LÄN</t>
        </is>
      </c>
      <c r="E1354" t="inlineStr">
        <is>
          <t>MORA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33194-2019</t>
        </is>
      </c>
      <c r="B1355" s="1" t="n">
        <v>43649</v>
      </c>
      <c r="C1355" s="1" t="n">
        <v>45706</v>
      </c>
      <c r="D1355" t="inlineStr">
        <is>
          <t>DALARNAS LÄN</t>
        </is>
      </c>
      <c r="E1355" t="inlineStr">
        <is>
          <t>LUDVIKA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33188-2019</t>
        </is>
      </c>
      <c r="B1356" s="1" t="n">
        <v>43649</v>
      </c>
      <c r="C1356" s="1" t="n">
        <v>45706</v>
      </c>
      <c r="D1356" t="inlineStr">
        <is>
          <t>DALARNAS LÄN</t>
        </is>
      </c>
      <c r="E1356" t="inlineStr">
        <is>
          <t>MORA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33183-2019</t>
        </is>
      </c>
      <c r="B1357" s="1" t="n">
        <v>43649</v>
      </c>
      <c r="C1357" s="1" t="n">
        <v>45706</v>
      </c>
      <c r="D1357" t="inlineStr">
        <is>
          <t>DALARNAS LÄN</t>
        </is>
      </c>
      <c r="E1357" t="inlineStr">
        <is>
          <t>MORA</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33227-2019</t>
        </is>
      </c>
      <c r="B1358" s="1" t="n">
        <v>43650</v>
      </c>
      <c r="C1358" s="1" t="n">
        <v>45706</v>
      </c>
      <c r="D1358" t="inlineStr">
        <is>
          <t>DALARNAS LÄN</t>
        </is>
      </c>
      <c r="E1358" t="inlineStr">
        <is>
          <t>GAGNEF</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33229-2019</t>
        </is>
      </c>
      <c r="B1359" s="1" t="n">
        <v>43650</v>
      </c>
      <c r="C1359" s="1" t="n">
        <v>45706</v>
      </c>
      <c r="D1359" t="inlineStr">
        <is>
          <t>DALARNAS LÄN</t>
        </is>
      </c>
      <c r="E1359" t="inlineStr">
        <is>
          <t>GAGNEF</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33318-2019</t>
        </is>
      </c>
      <c r="B1360" s="1" t="n">
        <v>43650</v>
      </c>
      <c r="C1360" s="1" t="n">
        <v>45706</v>
      </c>
      <c r="D1360" t="inlineStr">
        <is>
          <t>DALARNAS LÄN</t>
        </is>
      </c>
      <c r="E1360" t="inlineStr">
        <is>
          <t>MORA</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33559-2019</t>
        </is>
      </c>
      <c r="B1361" s="1" t="n">
        <v>43651</v>
      </c>
      <c r="C1361" s="1" t="n">
        <v>45706</v>
      </c>
      <c r="D1361" t="inlineStr">
        <is>
          <t>DALARNAS LÄN</t>
        </is>
      </c>
      <c r="E1361" t="inlineStr">
        <is>
          <t>MALUNG-SÄLEN</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35215-2019</t>
        </is>
      </c>
      <c r="B1362" s="1" t="n">
        <v>43651</v>
      </c>
      <c r="C1362" s="1" t="n">
        <v>45706</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33767-2019</t>
        </is>
      </c>
      <c r="B1363" s="1" t="n">
        <v>43651</v>
      </c>
      <c r="C1363" s="1" t="n">
        <v>45706</v>
      </c>
      <c r="D1363" t="inlineStr">
        <is>
          <t>DALARNAS LÄN</t>
        </is>
      </c>
      <c r="E1363" t="inlineStr">
        <is>
          <t>GAGNEF</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35211-2019</t>
        </is>
      </c>
      <c r="B1364" s="1" t="n">
        <v>43651</v>
      </c>
      <c r="C1364" s="1" t="n">
        <v>45706</v>
      </c>
      <c r="D1364" t="inlineStr">
        <is>
          <t>DALARNAS LÄN</t>
        </is>
      </c>
      <c r="E1364" t="inlineStr">
        <is>
          <t>RÄTTVIK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35360-2019</t>
        </is>
      </c>
      <c r="B1365" s="1" t="n">
        <v>43651</v>
      </c>
      <c r="C1365" s="1" t="n">
        <v>45706</v>
      </c>
      <c r="D1365" t="inlineStr">
        <is>
          <t>DALARNAS LÄN</t>
        </is>
      </c>
      <c r="E1365" t="inlineStr">
        <is>
          <t>MORA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33859-2019</t>
        </is>
      </c>
      <c r="B1366" s="1" t="n">
        <v>43652</v>
      </c>
      <c r="C1366" s="1" t="n">
        <v>45706</v>
      </c>
      <c r="D1366" t="inlineStr">
        <is>
          <t>DALARNAS LÄN</t>
        </is>
      </c>
      <c r="E1366" t="inlineStr">
        <is>
          <t>SMEDJEBACKEN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33903-2019</t>
        </is>
      </c>
      <c r="B1367" s="1" t="n">
        <v>43654</v>
      </c>
      <c r="C1367" s="1" t="n">
        <v>45706</v>
      </c>
      <c r="D1367" t="inlineStr">
        <is>
          <t>DALARNAS LÄN</t>
        </is>
      </c>
      <c r="E1367" t="inlineStr">
        <is>
          <t>LEKSAND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34071-2019</t>
        </is>
      </c>
      <c r="B1368" s="1" t="n">
        <v>43654</v>
      </c>
      <c r="C1368" s="1" t="n">
        <v>45706</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34081-2019</t>
        </is>
      </c>
      <c r="B1369" s="1" t="n">
        <v>43654</v>
      </c>
      <c r="C1369" s="1" t="n">
        <v>45706</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34085-2019</t>
        </is>
      </c>
      <c r="B1370" s="1" t="n">
        <v>43654</v>
      </c>
      <c r="C1370" s="1" t="n">
        <v>45706</v>
      </c>
      <c r="D1370" t="inlineStr">
        <is>
          <t>DALARNAS LÄN</t>
        </is>
      </c>
      <c r="E1370" t="inlineStr">
        <is>
          <t>MALUNG-SÄLEN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35529-2019</t>
        </is>
      </c>
      <c r="B1371" s="1" t="n">
        <v>43654</v>
      </c>
      <c r="C1371" s="1" t="n">
        <v>45706</v>
      </c>
      <c r="D1371" t="inlineStr">
        <is>
          <t>DALARNAS LÄN</t>
        </is>
      </c>
      <c r="E1371" t="inlineStr">
        <is>
          <t>ÄLVDALEN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34027-2019</t>
        </is>
      </c>
      <c r="B1372" s="1" t="n">
        <v>43654</v>
      </c>
      <c r="C1372" s="1" t="n">
        <v>45706</v>
      </c>
      <c r="D1372" t="inlineStr">
        <is>
          <t>DALARNAS LÄN</t>
        </is>
      </c>
      <c r="E1372" t="inlineStr">
        <is>
          <t>HEDEMORA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34198-2019</t>
        </is>
      </c>
      <c r="B1373" s="1" t="n">
        <v>43655</v>
      </c>
      <c r="C1373" s="1" t="n">
        <v>45706</v>
      </c>
      <c r="D1373" t="inlineStr">
        <is>
          <t>DALARNAS LÄN</t>
        </is>
      </c>
      <c r="E1373" t="inlineStr">
        <is>
          <t>SÄTER</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34257-2019</t>
        </is>
      </c>
      <c r="B1374" s="1" t="n">
        <v>43655</v>
      </c>
      <c r="C1374" s="1" t="n">
        <v>45706</v>
      </c>
      <c r="D1374" t="inlineStr">
        <is>
          <t>DALARNAS LÄN</t>
        </is>
      </c>
      <c r="E1374" t="inlineStr">
        <is>
          <t>ORSA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34142-2019</t>
        </is>
      </c>
      <c r="B1375" s="1" t="n">
        <v>43655</v>
      </c>
      <c r="C1375" s="1" t="n">
        <v>45706</v>
      </c>
      <c r="D1375" t="inlineStr">
        <is>
          <t>DALARNAS LÄN</t>
        </is>
      </c>
      <c r="E1375" t="inlineStr">
        <is>
          <t>FALUN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34238-2019</t>
        </is>
      </c>
      <c r="B1376" s="1" t="n">
        <v>43655</v>
      </c>
      <c r="C1376" s="1" t="n">
        <v>45706</v>
      </c>
      <c r="D1376" t="inlineStr">
        <is>
          <t>DALARNAS LÄN</t>
        </is>
      </c>
      <c r="E1376" t="inlineStr">
        <is>
          <t>SÄTER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34161-2019</t>
        </is>
      </c>
      <c r="B1377" s="1" t="n">
        <v>43655</v>
      </c>
      <c r="C1377" s="1" t="n">
        <v>45706</v>
      </c>
      <c r="D1377" t="inlineStr">
        <is>
          <t>DALARNAS LÄN</t>
        </is>
      </c>
      <c r="E1377" t="inlineStr">
        <is>
          <t>GAGNEF</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34330-2019</t>
        </is>
      </c>
      <c r="B1378" s="1" t="n">
        <v>43656</v>
      </c>
      <c r="C1378" s="1" t="n">
        <v>45706</v>
      </c>
      <c r="D1378" t="inlineStr">
        <is>
          <t>DALARNAS LÄN</t>
        </is>
      </c>
      <c r="E1378" t="inlineStr">
        <is>
          <t>MORA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34404-2019</t>
        </is>
      </c>
      <c r="B1379" s="1" t="n">
        <v>43656</v>
      </c>
      <c r="C1379" s="1" t="n">
        <v>45706</v>
      </c>
      <c r="D1379" t="inlineStr">
        <is>
          <t>DALARNAS LÄN</t>
        </is>
      </c>
      <c r="E1379" t="inlineStr">
        <is>
          <t>GAGNEF</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34472-2019</t>
        </is>
      </c>
      <c r="B1380" s="1" t="n">
        <v>43656</v>
      </c>
      <c r="C1380" s="1" t="n">
        <v>45706</v>
      </c>
      <c r="D1380" t="inlineStr">
        <is>
          <t>DALARNAS LÄN</t>
        </is>
      </c>
      <c r="E1380" t="inlineStr">
        <is>
          <t>LUDVIKA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35793-2019</t>
        </is>
      </c>
      <c r="B1381" s="1" t="n">
        <v>43656</v>
      </c>
      <c r="C1381" s="1" t="n">
        <v>45706</v>
      </c>
      <c r="D1381" t="inlineStr">
        <is>
          <t>DALARNAS LÄN</t>
        </is>
      </c>
      <c r="E1381" t="inlineStr">
        <is>
          <t>MALUNG-SÄLEN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34329-2019</t>
        </is>
      </c>
      <c r="B1382" s="1" t="n">
        <v>43656</v>
      </c>
      <c r="C1382" s="1" t="n">
        <v>45706</v>
      </c>
      <c r="D1382" t="inlineStr">
        <is>
          <t>DALARNAS LÄN</t>
        </is>
      </c>
      <c r="E1382" t="inlineStr">
        <is>
          <t>RÄTTVIK</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36028-2019</t>
        </is>
      </c>
      <c r="B1383" s="1" t="n">
        <v>43657</v>
      </c>
      <c r="C1383" s="1" t="n">
        <v>45706</v>
      </c>
      <c r="D1383" t="inlineStr">
        <is>
          <t>DALARNAS LÄN</t>
        </is>
      </c>
      <c r="E1383" t="inlineStr">
        <is>
          <t>RÄTTVIK</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34521-2019</t>
        </is>
      </c>
      <c r="B1384" s="1" t="n">
        <v>43657</v>
      </c>
      <c r="C1384" s="1" t="n">
        <v>45706</v>
      </c>
      <c r="D1384" t="inlineStr">
        <is>
          <t>DALARNAS LÄN</t>
        </is>
      </c>
      <c r="E1384" t="inlineStr">
        <is>
          <t>ORSA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34550-2019</t>
        </is>
      </c>
      <c r="B1385" s="1" t="n">
        <v>43657</v>
      </c>
      <c r="C1385" s="1" t="n">
        <v>45706</v>
      </c>
      <c r="D1385" t="inlineStr">
        <is>
          <t>DALARNAS LÄN</t>
        </is>
      </c>
      <c r="E1385" t="inlineStr">
        <is>
          <t>ÄLVDALEN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36014-2019</t>
        </is>
      </c>
      <c r="B1386" s="1" t="n">
        <v>43657</v>
      </c>
      <c r="C1386" s="1" t="n">
        <v>45706</v>
      </c>
      <c r="D1386" t="inlineStr">
        <is>
          <t>DALARNAS LÄN</t>
        </is>
      </c>
      <c r="E1386" t="inlineStr">
        <is>
          <t>LEKSAND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36006-2019</t>
        </is>
      </c>
      <c r="B1387" s="1" t="n">
        <v>43657</v>
      </c>
      <c r="C1387" s="1" t="n">
        <v>45706</v>
      </c>
      <c r="D1387" t="inlineStr">
        <is>
          <t>DALARNAS LÄN</t>
        </is>
      </c>
      <c r="E1387" t="inlineStr">
        <is>
          <t>MALUNG-SÄLEN</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36080-2019</t>
        </is>
      </c>
      <c r="B1388" s="1" t="n">
        <v>43657</v>
      </c>
      <c r="C1388" s="1" t="n">
        <v>45706</v>
      </c>
      <c r="D1388" t="inlineStr">
        <is>
          <t>DALARNAS LÄN</t>
        </is>
      </c>
      <c r="E1388" t="inlineStr">
        <is>
          <t>ÄLVDALEN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36023-2019</t>
        </is>
      </c>
      <c r="B1389" s="1" t="n">
        <v>43657</v>
      </c>
      <c r="C1389" s="1" t="n">
        <v>45706</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34647-2019</t>
        </is>
      </c>
      <c r="B1390" s="1" t="n">
        <v>43657</v>
      </c>
      <c r="C1390" s="1" t="n">
        <v>45706</v>
      </c>
      <c r="D1390" t="inlineStr">
        <is>
          <t>DALARNAS LÄN</t>
        </is>
      </c>
      <c r="E1390" t="inlineStr">
        <is>
          <t>VANSBRO</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36119-2019</t>
        </is>
      </c>
      <c r="B1391" s="1" t="n">
        <v>43658</v>
      </c>
      <c r="C1391" s="1" t="n">
        <v>45706</v>
      </c>
      <c r="D1391" t="inlineStr">
        <is>
          <t>DALARNAS LÄN</t>
        </is>
      </c>
      <c r="E1391" t="inlineStr">
        <is>
          <t>MALUNG-SÄLEN</t>
        </is>
      </c>
      <c r="F1391" t="inlineStr">
        <is>
          <t>Allmännings- och besparingsskogar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34992-2019</t>
        </is>
      </c>
      <c r="B1392" s="1" t="n">
        <v>43660</v>
      </c>
      <c r="C1392" s="1" t="n">
        <v>45706</v>
      </c>
      <c r="D1392" t="inlineStr">
        <is>
          <t>DALARNAS LÄN</t>
        </is>
      </c>
      <c r="E1392" t="inlineStr">
        <is>
          <t>BORLÄNGE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36274-2019</t>
        </is>
      </c>
      <c r="B1393" s="1" t="n">
        <v>43661</v>
      </c>
      <c r="C1393" s="1" t="n">
        <v>45706</v>
      </c>
      <c r="D1393" t="inlineStr">
        <is>
          <t>DALARNAS LÄN</t>
        </is>
      </c>
      <c r="E1393" t="inlineStr">
        <is>
          <t>ORSA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36275-2019</t>
        </is>
      </c>
      <c r="B1394" s="1" t="n">
        <v>43661</v>
      </c>
      <c r="C1394" s="1" t="n">
        <v>45706</v>
      </c>
      <c r="D1394" t="inlineStr">
        <is>
          <t>DALARNAS LÄN</t>
        </is>
      </c>
      <c r="E1394" t="inlineStr">
        <is>
          <t>MORA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35136-2019</t>
        </is>
      </c>
      <c r="B1395" s="1" t="n">
        <v>43661</v>
      </c>
      <c r="C1395" s="1" t="n">
        <v>45706</v>
      </c>
      <c r="D1395" t="inlineStr">
        <is>
          <t>DALARNAS LÄN</t>
        </is>
      </c>
      <c r="E1395" t="inlineStr">
        <is>
          <t>ÄLVDALEN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36382-2019</t>
        </is>
      </c>
      <c r="B1396" s="1" t="n">
        <v>43662</v>
      </c>
      <c r="C1396" s="1" t="n">
        <v>45706</v>
      </c>
      <c r="D1396" t="inlineStr">
        <is>
          <t>DALARNAS LÄN</t>
        </is>
      </c>
      <c r="E1396" t="inlineStr">
        <is>
          <t>RÄTTVIK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36380-2019</t>
        </is>
      </c>
      <c r="B1397" s="1" t="n">
        <v>43662</v>
      </c>
      <c r="C1397" s="1" t="n">
        <v>45706</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35230-2019</t>
        </is>
      </c>
      <c r="B1398" s="1" t="n">
        <v>43662</v>
      </c>
      <c r="C1398" s="1" t="n">
        <v>45706</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35410-2019</t>
        </is>
      </c>
      <c r="B1399" s="1" t="n">
        <v>43663</v>
      </c>
      <c r="C1399" s="1" t="n">
        <v>45706</v>
      </c>
      <c r="D1399" t="inlineStr">
        <is>
          <t>DALARNAS LÄN</t>
        </is>
      </c>
      <c r="E1399" t="inlineStr">
        <is>
          <t>RÄTTVIK</t>
        </is>
      </c>
      <c r="F1399" t="inlineStr">
        <is>
          <t>Sveaskog</t>
        </is>
      </c>
      <c r="G1399" t="n">
        <v>2</v>
      </c>
      <c r="H1399" t="n">
        <v>0</v>
      </c>
      <c r="I1399" t="n">
        <v>0</v>
      </c>
      <c r="J1399" t="n">
        <v>0</v>
      </c>
      <c r="K1399" t="n">
        <v>0</v>
      </c>
      <c r="L1399" t="n">
        <v>0</v>
      </c>
      <c r="M1399" t="n">
        <v>0</v>
      </c>
      <c r="N1399" t="n">
        <v>0</v>
      </c>
      <c r="O1399" t="n">
        <v>0</v>
      </c>
      <c r="P1399" t="n">
        <v>0</v>
      </c>
      <c r="Q1399" t="n">
        <v>0</v>
      </c>
      <c r="R1399" s="2" t="inlineStr"/>
      <c r="U1399">
        <f>HYPERLINK("https://klasma.github.io/Logging_2031/knärot/A 35410-2019 karta knärot.png", "A 35410-2019")</f>
        <v/>
      </c>
      <c r="V1399">
        <f>HYPERLINK("https://klasma.github.io/Logging_2031/klagomål/A 35410-2019 FSC-klagomål.docx", "A 35410-2019")</f>
        <v/>
      </c>
      <c r="W1399">
        <f>HYPERLINK("https://klasma.github.io/Logging_2031/klagomålsmail/A 35410-2019 FSC-klagomål mail.docx", "A 35410-2019")</f>
        <v/>
      </c>
      <c r="X1399">
        <f>HYPERLINK("https://klasma.github.io/Logging_2031/tillsyn/A 35410-2019 tillsynsbegäran.docx", "A 35410-2019")</f>
        <v/>
      </c>
      <c r="Y1399">
        <f>HYPERLINK("https://klasma.github.io/Logging_2031/tillsynsmail/A 35410-2019 tillsynsbegäran mail.docx", "A 35410-2019")</f>
        <v/>
      </c>
    </row>
    <row r="1400" ht="15" customHeight="1">
      <c r="A1400" t="inlineStr">
        <is>
          <t>A 35418-2019</t>
        </is>
      </c>
      <c r="B1400" s="1" t="n">
        <v>43663</v>
      </c>
      <c r="C1400" s="1" t="n">
        <v>45706</v>
      </c>
      <c r="D1400" t="inlineStr">
        <is>
          <t>DALARNAS LÄN</t>
        </is>
      </c>
      <c r="E1400" t="inlineStr">
        <is>
          <t>RÄTTVIK</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35423-2019</t>
        </is>
      </c>
      <c r="B1401" s="1" t="n">
        <v>43663</v>
      </c>
      <c r="C1401" s="1" t="n">
        <v>45706</v>
      </c>
      <c r="D1401" t="inlineStr">
        <is>
          <t>DALARNAS LÄN</t>
        </is>
      </c>
      <c r="E1401" t="inlineStr">
        <is>
          <t>RÄTTVIK</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35408-2019</t>
        </is>
      </c>
      <c r="B1402" s="1" t="n">
        <v>43663</v>
      </c>
      <c r="C1402" s="1" t="n">
        <v>45706</v>
      </c>
      <c r="D1402" t="inlineStr">
        <is>
          <t>DALARNAS LÄN</t>
        </is>
      </c>
      <c r="E1402" t="inlineStr">
        <is>
          <t>RÄTTVIK</t>
        </is>
      </c>
      <c r="F1402" t="inlineStr">
        <is>
          <t>Sveaskog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35463-2019</t>
        </is>
      </c>
      <c r="B1403" s="1" t="n">
        <v>43663</v>
      </c>
      <c r="C1403" s="1" t="n">
        <v>45706</v>
      </c>
      <c r="D1403" t="inlineStr">
        <is>
          <t>DALARNAS LÄN</t>
        </is>
      </c>
      <c r="E1403" t="inlineStr">
        <is>
          <t>ÄLVDALEN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35457-2019</t>
        </is>
      </c>
      <c r="B1404" s="1" t="n">
        <v>43663</v>
      </c>
      <c r="C1404" s="1" t="n">
        <v>45706</v>
      </c>
      <c r="D1404" t="inlineStr">
        <is>
          <t>DALARNAS LÄN</t>
        </is>
      </c>
      <c r="E1404" t="inlineStr">
        <is>
          <t>ÄLVDALEN</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35496-2019</t>
        </is>
      </c>
      <c r="B1405" s="1" t="n">
        <v>43663</v>
      </c>
      <c r="C1405" s="1" t="n">
        <v>45706</v>
      </c>
      <c r="D1405" t="inlineStr">
        <is>
          <t>DALARNAS LÄN</t>
        </is>
      </c>
      <c r="E1405" t="inlineStr">
        <is>
          <t>FALUN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35458-2019</t>
        </is>
      </c>
      <c r="B1406" s="1" t="n">
        <v>43663</v>
      </c>
      <c r="C1406" s="1" t="n">
        <v>45706</v>
      </c>
      <c r="D1406" t="inlineStr">
        <is>
          <t>DALARNAS LÄN</t>
        </is>
      </c>
      <c r="E1406" t="inlineStr">
        <is>
          <t>ÄLVDALEN</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35609-2019</t>
        </is>
      </c>
      <c r="B1407" s="1" t="n">
        <v>43664</v>
      </c>
      <c r="C1407" s="1" t="n">
        <v>45706</v>
      </c>
      <c r="D1407" t="inlineStr">
        <is>
          <t>DALARNAS LÄN</t>
        </is>
      </c>
      <c r="E1407" t="inlineStr">
        <is>
          <t>ÄLVDALEN</t>
        </is>
      </c>
      <c r="F1407" t="inlineStr">
        <is>
          <t>Övriga Aktiebolag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35663-2019</t>
        </is>
      </c>
      <c r="B1408" s="1" t="n">
        <v>43664</v>
      </c>
      <c r="C1408" s="1" t="n">
        <v>45706</v>
      </c>
      <c r="D1408" t="inlineStr">
        <is>
          <t>DALARNAS LÄN</t>
        </is>
      </c>
      <c r="E1408" t="inlineStr">
        <is>
          <t>ORSA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35708-2019</t>
        </is>
      </c>
      <c r="B1409" s="1" t="n">
        <v>43664</v>
      </c>
      <c r="C1409" s="1" t="n">
        <v>45706</v>
      </c>
      <c r="D1409" t="inlineStr">
        <is>
          <t>DALARNAS LÄN</t>
        </is>
      </c>
      <c r="E1409" t="inlineStr">
        <is>
          <t>ÄLVDALEN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35634-2019</t>
        </is>
      </c>
      <c r="B1410" s="1" t="n">
        <v>43664</v>
      </c>
      <c r="C1410" s="1" t="n">
        <v>45706</v>
      </c>
      <c r="D1410" t="inlineStr">
        <is>
          <t>DALARNAS LÄN</t>
        </is>
      </c>
      <c r="E1410" t="inlineStr">
        <is>
          <t>LUDVIKA</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36440-2019</t>
        </is>
      </c>
      <c r="B1411" s="1" t="n">
        <v>43664</v>
      </c>
      <c r="C1411" s="1" t="n">
        <v>45706</v>
      </c>
      <c r="D1411" t="inlineStr">
        <is>
          <t>DALARNAS LÄN</t>
        </is>
      </c>
      <c r="E1411" t="inlineStr">
        <is>
          <t>MORA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35707-2019</t>
        </is>
      </c>
      <c r="B1412" s="1" t="n">
        <v>43664</v>
      </c>
      <c r="C1412" s="1" t="n">
        <v>45706</v>
      </c>
      <c r="D1412" t="inlineStr">
        <is>
          <t>DALARNAS LÄN</t>
        </is>
      </c>
      <c r="E1412" t="inlineStr">
        <is>
          <t>ÄLVDALEN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35855-2019</t>
        </is>
      </c>
      <c r="B1413" s="1" t="n">
        <v>43665</v>
      </c>
      <c r="C1413" s="1" t="n">
        <v>45706</v>
      </c>
      <c r="D1413" t="inlineStr">
        <is>
          <t>DALARNAS LÄN</t>
        </is>
      </c>
      <c r="E1413" t="inlineStr">
        <is>
          <t>HEDEMORA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36079-2019</t>
        </is>
      </c>
      <c r="B1414" s="1" t="n">
        <v>43668</v>
      </c>
      <c r="C1414" s="1" t="n">
        <v>45706</v>
      </c>
      <c r="D1414" t="inlineStr">
        <is>
          <t>DALARNAS LÄN</t>
        </is>
      </c>
      <c r="E1414" t="inlineStr">
        <is>
          <t>FALUN</t>
        </is>
      </c>
      <c r="F1414" t="inlineStr">
        <is>
          <t>Bergvik skog väst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36482-2019</t>
        </is>
      </c>
      <c r="B1415" s="1" t="n">
        <v>43668</v>
      </c>
      <c r="C1415" s="1" t="n">
        <v>45706</v>
      </c>
      <c r="D1415" t="inlineStr">
        <is>
          <t>DALARNAS LÄN</t>
        </is>
      </c>
      <c r="E1415" t="inlineStr">
        <is>
          <t>ÄLVDALEN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36010-2019</t>
        </is>
      </c>
      <c r="B1416" s="1" t="n">
        <v>43668</v>
      </c>
      <c r="C1416" s="1" t="n">
        <v>45706</v>
      </c>
      <c r="D1416" t="inlineStr">
        <is>
          <t>DALARNAS LÄN</t>
        </is>
      </c>
      <c r="E1416" t="inlineStr">
        <is>
          <t>AVESTA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36025-2019</t>
        </is>
      </c>
      <c r="B1417" s="1" t="n">
        <v>43668</v>
      </c>
      <c r="C1417" s="1" t="n">
        <v>45706</v>
      </c>
      <c r="D1417" t="inlineStr">
        <is>
          <t>DALARNAS LÄN</t>
        </is>
      </c>
      <c r="E1417" t="inlineStr">
        <is>
          <t>AVESTA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36063-2019</t>
        </is>
      </c>
      <c r="B1418" s="1" t="n">
        <v>43668</v>
      </c>
      <c r="C1418" s="1" t="n">
        <v>45706</v>
      </c>
      <c r="D1418" t="inlineStr">
        <is>
          <t>DALARNAS LÄN</t>
        </is>
      </c>
      <c r="E1418" t="inlineStr">
        <is>
          <t>ÄLVDALEN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36287-2019</t>
        </is>
      </c>
      <c r="B1419" s="1" t="n">
        <v>43669</v>
      </c>
      <c r="C1419" s="1" t="n">
        <v>45706</v>
      </c>
      <c r="D1419" t="inlineStr">
        <is>
          <t>DALARNAS LÄN</t>
        </is>
      </c>
      <c r="E1419" t="inlineStr">
        <is>
          <t>LEKSAND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36381-2019</t>
        </is>
      </c>
      <c r="B1420" s="1" t="n">
        <v>43670</v>
      </c>
      <c r="C1420" s="1" t="n">
        <v>45706</v>
      </c>
      <c r="D1420" t="inlineStr">
        <is>
          <t>DALARNAS LÄN</t>
        </is>
      </c>
      <c r="E1420" t="inlineStr">
        <is>
          <t>FALUN</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36625-2019</t>
        </is>
      </c>
      <c r="B1421" s="1" t="n">
        <v>43671</v>
      </c>
      <c r="C1421" s="1" t="n">
        <v>45706</v>
      </c>
      <c r="D1421" t="inlineStr">
        <is>
          <t>DALARNAS LÄN</t>
        </is>
      </c>
      <c r="E1421" t="inlineStr">
        <is>
          <t>FALUN</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36729-2019</t>
        </is>
      </c>
      <c r="B1422" s="1" t="n">
        <v>43672</v>
      </c>
      <c r="C1422" s="1" t="n">
        <v>45706</v>
      </c>
      <c r="D1422" t="inlineStr">
        <is>
          <t>DALARNAS LÄN</t>
        </is>
      </c>
      <c r="E1422" t="inlineStr">
        <is>
          <t>FALUN</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36800-2019</t>
        </is>
      </c>
      <c r="B1423" s="1" t="n">
        <v>43672</v>
      </c>
      <c r="C1423" s="1" t="n">
        <v>45706</v>
      </c>
      <c r="D1423" t="inlineStr">
        <is>
          <t>DALARNAS LÄN</t>
        </is>
      </c>
      <c r="E1423" t="inlineStr">
        <is>
          <t>VANSBRO</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36726-2019</t>
        </is>
      </c>
      <c r="B1424" s="1" t="n">
        <v>43672</v>
      </c>
      <c r="C1424" s="1" t="n">
        <v>45706</v>
      </c>
      <c r="D1424" t="inlineStr">
        <is>
          <t>DALARNAS LÄN</t>
        </is>
      </c>
      <c r="E1424" t="inlineStr">
        <is>
          <t>FALUN</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36797-2019</t>
        </is>
      </c>
      <c r="B1425" s="1" t="n">
        <v>43672</v>
      </c>
      <c r="C1425" s="1" t="n">
        <v>45706</v>
      </c>
      <c r="D1425" t="inlineStr">
        <is>
          <t>DALARNAS LÄN</t>
        </is>
      </c>
      <c r="E1425" t="inlineStr">
        <is>
          <t>GAGNEF</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36798-2019</t>
        </is>
      </c>
      <c r="B1426" s="1" t="n">
        <v>43672</v>
      </c>
      <c r="C1426" s="1" t="n">
        <v>45706</v>
      </c>
      <c r="D1426" t="inlineStr">
        <is>
          <t>DALARNAS LÄN</t>
        </is>
      </c>
      <c r="E1426" t="inlineStr">
        <is>
          <t>GAGNEF</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36823-2019</t>
        </is>
      </c>
      <c r="B1427" s="1" t="n">
        <v>43674</v>
      </c>
      <c r="C1427" s="1" t="n">
        <v>45706</v>
      </c>
      <c r="D1427" t="inlineStr">
        <is>
          <t>DALARNAS LÄN</t>
        </is>
      </c>
      <c r="E1427" t="inlineStr">
        <is>
          <t>AVESTA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36824-2019</t>
        </is>
      </c>
      <c r="B1428" s="1" t="n">
        <v>43674</v>
      </c>
      <c r="C1428" s="1" t="n">
        <v>45706</v>
      </c>
      <c r="D1428" t="inlineStr">
        <is>
          <t>DALARNAS LÄN</t>
        </is>
      </c>
      <c r="E1428" t="inlineStr">
        <is>
          <t>AVESTA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36878-2019</t>
        </is>
      </c>
      <c r="B1429" s="1" t="n">
        <v>43675</v>
      </c>
      <c r="C1429" s="1" t="n">
        <v>45706</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36873-2019</t>
        </is>
      </c>
      <c r="B1430" s="1" t="n">
        <v>43675</v>
      </c>
      <c r="C1430" s="1" t="n">
        <v>45706</v>
      </c>
      <c r="D1430" t="inlineStr">
        <is>
          <t>DALARNAS LÄN</t>
        </is>
      </c>
      <c r="E1430" t="inlineStr">
        <is>
          <t>MALUNG-SÄLEN</t>
        </is>
      </c>
      <c r="F1430" t="inlineStr">
        <is>
          <t>Allmännings- och besparingsskogar</t>
        </is>
      </c>
      <c r="G1430" t="n">
        <v>16.3</v>
      </c>
      <c r="H1430" t="n">
        <v>0</v>
      </c>
      <c r="I1430" t="n">
        <v>0</v>
      </c>
      <c r="J1430" t="n">
        <v>0</v>
      </c>
      <c r="K1430" t="n">
        <v>0</v>
      </c>
      <c r="L1430" t="n">
        <v>0</v>
      </c>
      <c r="M1430" t="n">
        <v>0</v>
      </c>
      <c r="N1430" t="n">
        <v>0</v>
      </c>
      <c r="O1430" t="n">
        <v>0</v>
      </c>
      <c r="P1430" t="n">
        <v>0</v>
      </c>
      <c r="Q1430" t="n">
        <v>0</v>
      </c>
      <c r="R1430" s="2" t="inlineStr"/>
    </row>
    <row r="1431" ht="15" customHeight="1">
      <c r="A1431" t="inlineStr">
        <is>
          <t>A 37801-2019</t>
        </is>
      </c>
      <c r="B1431" s="1" t="n">
        <v>43675</v>
      </c>
      <c r="C1431" s="1" t="n">
        <v>45706</v>
      </c>
      <c r="D1431" t="inlineStr">
        <is>
          <t>DALARNAS LÄN</t>
        </is>
      </c>
      <c r="E1431" t="inlineStr">
        <is>
          <t>MORA</t>
        </is>
      </c>
      <c r="F1431" t="inlineStr">
        <is>
          <t>Allmännings- och besparingsskogar</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36933-2019</t>
        </is>
      </c>
      <c r="B1432" s="1" t="n">
        <v>43675</v>
      </c>
      <c r="C1432" s="1" t="n">
        <v>45706</v>
      </c>
      <c r="D1432" t="inlineStr">
        <is>
          <t>DALARNAS LÄN</t>
        </is>
      </c>
      <c r="E1432" t="inlineStr">
        <is>
          <t>GAGNEF</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37816-2019</t>
        </is>
      </c>
      <c r="B1433" s="1" t="n">
        <v>43675</v>
      </c>
      <c r="C1433" s="1" t="n">
        <v>45706</v>
      </c>
      <c r="D1433" t="inlineStr">
        <is>
          <t>DALARNAS LÄN</t>
        </is>
      </c>
      <c r="E1433" t="inlineStr">
        <is>
          <t>MORA</t>
        </is>
      </c>
      <c r="F1433" t="inlineStr">
        <is>
          <t>Allmännings- och besparingsskogar</t>
        </is>
      </c>
      <c r="G1433" t="n">
        <v>29.9</v>
      </c>
      <c r="H1433" t="n">
        <v>0</v>
      </c>
      <c r="I1433" t="n">
        <v>0</v>
      </c>
      <c r="J1433" t="n">
        <v>0</v>
      </c>
      <c r="K1433" t="n">
        <v>0</v>
      </c>
      <c r="L1433" t="n">
        <v>0</v>
      </c>
      <c r="M1433" t="n">
        <v>0</v>
      </c>
      <c r="N1433" t="n">
        <v>0</v>
      </c>
      <c r="O1433" t="n">
        <v>0</v>
      </c>
      <c r="P1433" t="n">
        <v>0</v>
      </c>
      <c r="Q1433" t="n">
        <v>0</v>
      </c>
      <c r="R1433" s="2" t="inlineStr"/>
    </row>
    <row r="1434" ht="15" customHeight="1">
      <c r="A1434" t="inlineStr">
        <is>
          <t>A 36989-2019</t>
        </is>
      </c>
      <c r="B1434" s="1" t="n">
        <v>43676</v>
      </c>
      <c r="C1434" s="1" t="n">
        <v>45706</v>
      </c>
      <c r="D1434" t="inlineStr">
        <is>
          <t>DALARNAS LÄN</t>
        </is>
      </c>
      <c r="E1434" t="inlineStr">
        <is>
          <t>ORSA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36991-2019</t>
        </is>
      </c>
      <c r="B1435" s="1" t="n">
        <v>43676</v>
      </c>
      <c r="C1435" s="1" t="n">
        <v>45706</v>
      </c>
      <c r="D1435" t="inlineStr">
        <is>
          <t>DALARNAS LÄN</t>
        </is>
      </c>
      <c r="E1435" t="inlineStr">
        <is>
          <t>MORA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37055-2019</t>
        </is>
      </c>
      <c r="B1436" s="1" t="n">
        <v>43676</v>
      </c>
      <c r="C1436" s="1" t="n">
        <v>45706</v>
      </c>
      <c r="D1436" t="inlineStr">
        <is>
          <t>DALARNAS LÄN</t>
        </is>
      </c>
      <c r="E1436" t="inlineStr">
        <is>
          <t>FALUN</t>
        </is>
      </c>
      <c r="F1436" t="inlineStr">
        <is>
          <t>Kyrkan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37001-2019</t>
        </is>
      </c>
      <c r="B1437" s="1" t="n">
        <v>43676</v>
      </c>
      <c r="C1437" s="1" t="n">
        <v>45706</v>
      </c>
      <c r="D1437" t="inlineStr">
        <is>
          <t>DALARNAS LÄN</t>
        </is>
      </c>
      <c r="E1437" t="inlineStr">
        <is>
          <t>ORSA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37179-2019</t>
        </is>
      </c>
      <c r="B1438" s="1" t="n">
        <v>43677</v>
      </c>
      <c r="C1438" s="1" t="n">
        <v>45706</v>
      </c>
      <c r="D1438" t="inlineStr">
        <is>
          <t>DALARNAS LÄN</t>
        </is>
      </c>
      <c r="E1438" t="inlineStr">
        <is>
          <t>MALUNG-SÄLEN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37360-2019</t>
        </is>
      </c>
      <c r="B1439" s="1" t="n">
        <v>43678</v>
      </c>
      <c r="C1439" s="1" t="n">
        <v>45706</v>
      </c>
      <c r="D1439" t="inlineStr">
        <is>
          <t>DALARNAS LÄN</t>
        </is>
      </c>
      <c r="E1439" t="inlineStr">
        <is>
          <t>SMEDJEBACKEN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37368-2019</t>
        </is>
      </c>
      <c r="B1440" s="1" t="n">
        <v>43678</v>
      </c>
      <c r="C1440" s="1" t="n">
        <v>45706</v>
      </c>
      <c r="D1440" t="inlineStr">
        <is>
          <t>DALARNAS LÄN</t>
        </is>
      </c>
      <c r="E1440" t="inlineStr">
        <is>
          <t>SMEDJEBACKEN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37536-2019</t>
        </is>
      </c>
      <c r="B1441" s="1" t="n">
        <v>43679</v>
      </c>
      <c r="C1441" s="1" t="n">
        <v>45706</v>
      </c>
      <c r="D1441" t="inlineStr">
        <is>
          <t>DALARNAS LÄN</t>
        </is>
      </c>
      <c r="E1441" t="inlineStr">
        <is>
          <t>VANSBRO</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37612-2019</t>
        </is>
      </c>
      <c r="B1442" s="1" t="n">
        <v>43681</v>
      </c>
      <c r="C1442" s="1" t="n">
        <v>45706</v>
      </c>
      <c r="D1442" t="inlineStr">
        <is>
          <t>DALARNAS LÄN</t>
        </is>
      </c>
      <c r="E1442" t="inlineStr">
        <is>
          <t>LUDVIKA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37809-2019</t>
        </is>
      </c>
      <c r="B1443" s="1" t="n">
        <v>43682</v>
      </c>
      <c r="C1443" s="1" t="n">
        <v>45706</v>
      </c>
      <c r="D1443" t="inlineStr">
        <is>
          <t>DALARNAS LÄN</t>
        </is>
      </c>
      <c r="E1443" t="inlineStr">
        <is>
          <t>ORSA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37678-2019</t>
        </is>
      </c>
      <c r="B1444" s="1" t="n">
        <v>43682</v>
      </c>
      <c r="C1444" s="1" t="n">
        <v>45706</v>
      </c>
      <c r="D1444" t="inlineStr">
        <is>
          <t>DALARNAS LÄN</t>
        </is>
      </c>
      <c r="E1444" t="inlineStr">
        <is>
          <t>RÄTTVIK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38821-2019</t>
        </is>
      </c>
      <c r="B1445" s="1" t="n">
        <v>43682</v>
      </c>
      <c r="C1445" s="1" t="n">
        <v>45706</v>
      </c>
      <c r="D1445" t="inlineStr">
        <is>
          <t>DALARNAS LÄN</t>
        </is>
      </c>
      <c r="E1445" t="inlineStr">
        <is>
          <t>MORA</t>
        </is>
      </c>
      <c r="F1445" t="inlineStr">
        <is>
          <t>Allmännings- och besparingsskogar</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37733-2019</t>
        </is>
      </c>
      <c r="B1446" s="1" t="n">
        <v>43682</v>
      </c>
      <c r="C1446" s="1" t="n">
        <v>45706</v>
      </c>
      <c r="D1446" t="inlineStr">
        <is>
          <t>DALARNAS LÄN</t>
        </is>
      </c>
      <c r="E1446" t="inlineStr">
        <is>
          <t>LEKSAND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37822-2019</t>
        </is>
      </c>
      <c r="B1447" s="1" t="n">
        <v>43682</v>
      </c>
      <c r="C1447" s="1" t="n">
        <v>45706</v>
      </c>
      <c r="D1447" t="inlineStr">
        <is>
          <t>DALARNAS LÄN</t>
        </is>
      </c>
      <c r="E1447" t="inlineStr">
        <is>
          <t>LEKSAND</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37645-2019</t>
        </is>
      </c>
      <c r="B1448" s="1" t="n">
        <v>43682</v>
      </c>
      <c r="C1448" s="1" t="n">
        <v>45706</v>
      </c>
      <c r="D1448" t="inlineStr">
        <is>
          <t>DALARNAS LÄN</t>
        </is>
      </c>
      <c r="E1448" t="inlineStr">
        <is>
          <t>ÄLVDALEN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37939-2019</t>
        </is>
      </c>
      <c r="B1449" s="1" t="n">
        <v>43683</v>
      </c>
      <c r="C1449" s="1" t="n">
        <v>45706</v>
      </c>
      <c r="D1449" t="inlineStr">
        <is>
          <t>DALARNAS LÄN</t>
        </is>
      </c>
      <c r="E1449" t="inlineStr">
        <is>
          <t>ÄLVDALEN</t>
        </is>
      </c>
      <c r="F1449" t="inlineStr">
        <is>
          <t>Övriga statliga verk och myndigheter</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37991-2019</t>
        </is>
      </c>
      <c r="B1450" s="1" t="n">
        <v>43683</v>
      </c>
      <c r="C1450" s="1" t="n">
        <v>45706</v>
      </c>
      <c r="D1450" t="inlineStr">
        <is>
          <t>DALARNAS LÄN</t>
        </is>
      </c>
      <c r="E1450" t="inlineStr">
        <is>
          <t>ÄLVDALEN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37952-2019</t>
        </is>
      </c>
      <c r="B1451" s="1" t="n">
        <v>43683</v>
      </c>
      <c r="C1451" s="1" t="n">
        <v>45706</v>
      </c>
      <c r="D1451" t="inlineStr">
        <is>
          <t>DALARNAS LÄN</t>
        </is>
      </c>
      <c r="E1451" t="inlineStr">
        <is>
          <t>MALUNG-SÄLEN</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38039-2019</t>
        </is>
      </c>
      <c r="B1452" s="1" t="n">
        <v>43683</v>
      </c>
      <c r="C1452" s="1" t="n">
        <v>45706</v>
      </c>
      <c r="D1452" t="inlineStr">
        <is>
          <t>DALARNAS LÄN</t>
        </is>
      </c>
      <c r="E1452" t="inlineStr">
        <is>
          <t>ÄLVDALEN</t>
        </is>
      </c>
      <c r="F1452" t="inlineStr">
        <is>
          <t>Övriga statliga verk och myndigheter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38050-2019</t>
        </is>
      </c>
      <c r="B1453" s="1" t="n">
        <v>43683</v>
      </c>
      <c r="C1453" s="1" t="n">
        <v>45706</v>
      </c>
      <c r="D1453" t="inlineStr">
        <is>
          <t>DALARNAS LÄN</t>
        </is>
      </c>
      <c r="E1453" t="inlineStr">
        <is>
          <t>FALUN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38021-2019</t>
        </is>
      </c>
      <c r="B1454" s="1" t="n">
        <v>43683</v>
      </c>
      <c r="C1454" s="1" t="n">
        <v>45706</v>
      </c>
      <c r="D1454" t="inlineStr">
        <is>
          <t>DALARNAS LÄN</t>
        </is>
      </c>
      <c r="E1454" t="inlineStr">
        <is>
          <t>ÄLVDALEN</t>
        </is>
      </c>
      <c r="F1454" t="inlineStr">
        <is>
          <t>Övriga statliga verk och myndigheter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38173-2019</t>
        </is>
      </c>
      <c r="B1455" s="1" t="n">
        <v>43684</v>
      </c>
      <c r="C1455" s="1" t="n">
        <v>45706</v>
      </c>
      <c r="D1455" t="inlineStr">
        <is>
          <t>DALARNAS LÄN</t>
        </is>
      </c>
      <c r="E1455" t="inlineStr">
        <is>
          <t>MALUNG-SÄLEN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38282-2019</t>
        </is>
      </c>
      <c r="B1456" s="1" t="n">
        <v>43684</v>
      </c>
      <c r="C1456" s="1" t="n">
        <v>45706</v>
      </c>
      <c r="D1456" t="inlineStr">
        <is>
          <t>DALARNAS LÄN</t>
        </is>
      </c>
      <c r="E1456" t="inlineStr">
        <is>
          <t>GAGNEF</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38157-2019</t>
        </is>
      </c>
      <c r="B1457" s="1" t="n">
        <v>43684</v>
      </c>
      <c r="C1457" s="1" t="n">
        <v>45706</v>
      </c>
      <c r="D1457" t="inlineStr">
        <is>
          <t>DALARNAS LÄN</t>
        </is>
      </c>
      <c r="E1457" t="inlineStr">
        <is>
          <t>SÄTER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38152-2019</t>
        </is>
      </c>
      <c r="B1458" s="1" t="n">
        <v>43684</v>
      </c>
      <c r="C1458" s="1" t="n">
        <v>45706</v>
      </c>
      <c r="D1458" t="inlineStr">
        <is>
          <t>DALARNAS LÄN</t>
        </is>
      </c>
      <c r="E1458" t="inlineStr">
        <is>
          <t>SMEDJEBACKEN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38149-2019</t>
        </is>
      </c>
      <c r="B1459" s="1" t="n">
        <v>43684</v>
      </c>
      <c r="C1459" s="1" t="n">
        <v>45706</v>
      </c>
      <c r="D1459" t="inlineStr">
        <is>
          <t>DALARNAS LÄN</t>
        </is>
      </c>
      <c r="E1459" t="inlineStr">
        <is>
          <t>SMEDJEBACKEN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38350-2019</t>
        </is>
      </c>
      <c r="B1460" s="1" t="n">
        <v>43685</v>
      </c>
      <c r="C1460" s="1" t="n">
        <v>45706</v>
      </c>
      <c r="D1460" t="inlineStr">
        <is>
          <t>DALARNAS LÄN</t>
        </is>
      </c>
      <c r="E1460" t="inlineStr">
        <is>
          <t>LEKSAND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38514-2019</t>
        </is>
      </c>
      <c r="B1461" s="1" t="n">
        <v>43685</v>
      </c>
      <c r="C1461" s="1" t="n">
        <v>45706</v>
      </c>
      <c r="D1461" t="inlineStr">
        <is>
          <t>DALARNAS LÄN</t>
        </is>
      </c>
      <c r="E1461" t="inlineStr">
        <is>
          <t>MORA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38526-2019</t>
        </is>
      </c>
      <c r="B1462" s="1" t="n">
        <v>43685</v>
      </c>
      <c r="C1462" s="1" t="n">
        <v>45706</v>
      </c>
      <c r="D1462" t="inlineStr">
        <is>
          <t>DALARNAS LÄN</t>
        </is>
      </c>
      <c r="E1462" t="inlineStr">
        <is>
          <t>AVESTA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38370-2019</t>
        </is>
      </c>
      <c r="B1463" s="1" t="n">
        <v>43685</v>
      </c>
      <c r="C1463" s="1" t="n">
        <v>45706</v>
      </c>
      <c r="D1463" t="inlineStr">
        <is>
          <t>DALARNAS LÄN</t>
        </is>
      </c>
      <c r="E1463" t="inlineStr">
        <is>
          <t>GAGNEF</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38748-2019</t>
        </is>
      </c>
      <c r="B1464" s="1" t="n">
        <v>43686</v>
      </c>
      <c r="C1464" s="1" t="n">
        <v>45706</v>
      </c>
      <c r="D1464" t="inlineStr">
        <is>
          <t>DALARNAS LÄN</t>
        </is>
      </c>
      <c r="E1464" t="inlineStr">
        <is>
          <t>RÄTTVIK</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39281-2019</t>
        </is>
      </c>
      <c r="B1465" s="1" t="n">
        <v>43686</v>
      </c>
      <c r="C1465" s="1" t="n">
        <v>45706</v>
      </c>
      <c r="D1465" t="inlineStr">
        <is>
          <t>DALARNAS LÄN</t>
        </is>
      </c>
      <c r="E1465" t="inlineStr">
        <is>
          <t>MALUNG-SÄLEN</t>
        </is>
      </c>
      <c r="F1465" t="inlineStr">
        <is>
          <t>Allmännings- och besparingsskogar</t>
        </is>
      </c>
      <c r="G1465" t="n">
        <v>12.8</v>
      </c>
      <c r="H1465" t="n">
        <v>0</v>
      </c>
      <c r="I1465" t="n">
        <v>0</v>
      </c>
      <c r="J1465" t="n">
        <v>0</v>
      </c>
      <c r="K1465" t="n">
        <v>0</v>
      </c>
      <c r="L1465" t="n">
        <v>0</v>
      </c>
      <c r="M1465" t="n">
        <v>0</v>
      </c>
      <c r="N1465" t="n">
        <v>0</v>
      </c>
      <c r="O1465" t="n">
        <v>0</v>
      </c>
      <c r="P1465" t="n">
        <v>0</v>
      </c>
      <c r="Q1465" t="n">
        <v>0</v>
      </c>
      <c r="R1465" s="2" t="inlineStr"/>
    </row>
    <row r="1466" ht="15" customHeight="1">
      <c r="A1466" t="inlineStr">
        <is>
          <t>A 39556-2019</t>
        </is>
      </c>
      <c r="B1466" s="1" t="n">
        <v>43686</v>
      </c>
      <c r="C1466" s="1" t="n">
        <v>45706</v>
      </c>
      <c r="D1466" t="inlineStr">
        <is>
          <t>DALARNAS LÄN</t>
        </is>
      </c>
      <c r="E1466" t="inlineStr">
        <is>
          <t>RÄTTVIK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39287-2019</t>
        </is>
      </c>
      <c r="B1467" s="1" t="n">
        <v>43686</v>
      </c>
      <c r="C1467" s="1" t="n">
        <v>45706</v>
      </c>
      <c r="D1467" t="inlineStr">
        <is>
          <t>DALARNAS LÄN</t>
        </is>
      </c>
      <c r="E1467" t="inlineStr">
        <is>
          <t>MALUNG-SÄLEN</t>
        </is>
      </c>
      <c r="F1467" t="inlineStr">
        <is>
          <t>Allmännings- och besparingsskogar</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38595-2019</t>
        </is>
      </c>
      <c r="B1468" s="1" t="n">
        <v>43686</v>
      </c>
      <c r="C1468" s="1" t="n">
        <v>45706</v>
      </c>
      <c r="D1468" t="inlineStr">
        <is>
          <t>DALARNAS LÄN</t>
        </is>
      </c>
      <c r="E1468" t="inlineStr">
        <is>
          <t>VANSBRO</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38858-2019</t>
        </is>
      </c>
      <c r="B1469" s="1" t="n">
        <v>43689</v>
      </c>
      <c r="C1469" s="1" t="n">
        <v>45706</v>
      </c>
      <c r="D1469" t="inlineStr">
        <is>
          <t>DALARNAS LÄN</t>
        </is>
      </c>
      <c r="E1469" t="inlineStr">
        <is>
          <t>ORSA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38864-2019</t>
        </is>
      </c>
      <c r="B1470" s="1" t="n">
        <v>43689</v>
      </c>
      <c r="C1470" s="1" t="n">
        <v>45706</v>
      </c>
      <c r="D1470" t="inlineStr">
        <is>
          <t>DALARNAS LÄN</t>
        </is>
      </c>
      <c r="E1470" t="inlineStr">
        <is>
          <t>ÄLVDALEN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39025-2019</t>
        </is>
      </c>
      <c r="B1471" s="1" t="n">
        <v>43689</v>
      </c>
      <c r="C1471" s="1" t="n">
        <v>45706</v>
      </c>
      <c r="D1471" t="inlineStr">
        <is>
          <t>DALARNAS LÄN</t>
        </is>
      </c>
      <c r="E1471" t="inlineStr">
        <is>
          <t>LEKSAND</t>
        </is>
      </c>
      <c r="F1471" t="inlineStr">
        <is>
          <t>Bergvik skog väst AB</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39005-2019</t>
        </is>
      </c>
      <c r="B1472" s="1" t="n">
        <v>43689</v>
      </c>
      <c r="C1472" s="1" t="n">
        <v>45706</v>
      </c>
      <c r="D1472" t="inlineStr">
        <is>
          <t>DALARNAS LÄN</t>
        </is>
      </c>
      <c r="E1472" t="inlineStr">
        <is>
          <t>RÄTTVIK</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38857-2019</t>
        </is>
      </c>
      <c r="B1473" s="1" t="n">
        <v>43689</v>
      </c>
      <c r="C1473" s="1" t="n">
        <v>45706</v>
      </c>
      <c r="D1473" t="inlineStr">
        <is>
          <t>DALARNAS LÄN</t>
        </is>
      </c>
      <c r="E1473" t="inlineStr">
        <is>
          <t>ORSA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39708-2019</t>
        </is>
      </c>
      <c r="B1474" s="1" t="n">
        <v>43689</v>
      </c>
      <c r="C1474" s="1" t="n">
        <v>45706</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39012-2019</t>
        </is>
      </c>
      <c r="B1475" s="1" t="n">
        <v>43689</v>
      </c>
      <c r="C1475" s="1" t="n">
        <v>45706</v>
      </c>
      <c r="D1475" t="inlineStr">
        <is>
          <t>DALARNAS LÄN</t>
        </is>
      </c>
      <c r="E1475" t="inlineStr">
        <is>
          <t>FALUN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39032-2019</t>
        </is>
      </c>
      <c r="B1476" s="1" t="n">
        <v>43689</v>
      </c>
      <c r="C1476" s="1" t="n">
        <v>45706</v>
      </c>
      <c r="D1476" t="inlineStr">
        <is>
          <t>DALARNAS LÄN</t>
        </is>
      </c>
      <c r="E1476" t="inlineStr">
        <is>
          <t>FALUN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38842-2019</t>
        </is>
      </c>
      <c r="B1477" s="1" t="n">
        <v>43689</v>
      </c>
      <c r="C1477" s="1" t="n">
        <v>45706</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39298-2019</t>
        </is>
      </c>
      <c r="B1478" s="1" t="n">
        <v>43690</v>
      </c>
      <c r="C1478" s="1" t="n">
        <v>45706</v>
      </c>
      <c r="D1478" t="inlineStr">
        <is>
          <t>DALARNAS LÄN</t>
        </is>
      </c>
      <c r="E1478" t="inlineStr">
        <is>
          <t>MALUNG-SÄLEN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40304-2019</t>
        </is>
      </c>
      <c r="B1479" s="1" t="n">
        <v>43690</v>
      </c>
      <c r="C1479" s="1" t="n">
        <v>45706</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39221-2019</t>
        </is>
      </c>
      <c r="B1480" s="1" t="n">
        <v>43690</v>
      </c>
      <c r="C1480" s="1" t="n">
        <v>45706</v>
      </c>
      <c r="D1480" t="inlineStr">
        <is>
          <t>DALARNAS LÄN</t>
        </is>
      </c>
      <c r="E1480" t="inlineStr">
        <is>
          <t>FALUN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39809-2019</t>
        </is>
      </c>
      <c r="B1481" s="1" t="n">
        <v>43692</v>
      </c>
      <c r="C1481" s="1" t="n">
        <v>45706</v>
      </c>
      <c r="D1481" t="inlineStr">
        <is>
          <t>DALARNAS LÄN</t>
        </is>
      </c>
      <c r="E1481" t="inlineStr">
        <is>
          <t>MORA</t>
        </is>
      </c>
      <c r="F1481" t="inlineStr">
        <is>
          <t>Bergvik skog öst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39861-2019</t>
        </is>
      </c>
      <c r="B1482" s="1" t="n">
        <v>43692</v>
      </c>
      <c r="C1482" s="1" t="n">
        <v>45706</v>
      </c>
      <c r="D1482" t="inlineStr">
        <is>
          <t>DALARNAS LÄN</t>
        </is>
      </c>
      <c r="E1482" t="inlineStr">
        <is>
          <t>VANSBRO</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39811-2019</t>
        </is>
      </c>
      <c r="B1483" s="1" t="n">
        <v>43692</v>
      </c>
      <c r="C1483" s="1" t="n">
        <v>45706</v>
      </c>
      <c r="D1483" t="inlineStr">
        <is>
          <t>DALARNAS LÄN</t>
        </is>
      </c>
      <c r="E1483" t="inlineStr">
        <is>
          <t>MORA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40100-2019</t>
        </is>
      </c>
      <c r="B1484" s="1" t="n">
        <v>43693</v>
      </c>
      <c r="C1484" s="1" t="n">
        <v>45706</v>
      </c>
      <c r="D1484" t="inlineStr">
        <is>
          <t>DALARNAS LÄN</t>
        </is>
      </c>
      <c r="E1484" t="inlineStr">
        <is>
          <t>AVESTA</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40067-2019</t>
        </is>
      </c>
      <c r="B1485" s="1" t="n">
        <v>43693</v>
      </c>
      <c r="C1485" s="1" t="n">
        <v>45706</v>
      </c>
      <c r="D1485" t="inlineStr">
        <is>
          <t>DALARNAS LÄN</t>
        </is>
      </c>
      <c r="E1485" t="inlineStr">
        <is>
          <t>SMEDJEBACKEN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40129-2019</t>
        </is>
      </c>
      <c r="B1486" s="1" t="n">
        <v>43693</v>
      </c>
      <c r="C1486" s="1" t="n">
        <v>45706</v>
      </c>
      <c r="D1486" t="inlineStr">
        <is>
          <t>DALARNAS LÄN</t>
        </is>
      </c>
      <c r="E1486" t="inlineStr">
        <is>
          <t>SMEDJEBACKEN</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40163-2019</t>
        </is>
      </c>
      <c r="B1487" s="1" t="n">
        <v>43693</v>
      </c>
      <c r="C1487" s="1" t="n">
        <v>45706</v>
      </c>
      <c r="D1487" t="inlineStr">
        <is>
          <t>DALARNAS LÄN</t>
        </is>
      </c>
      <c r="E1487" t="inlineStr">
        <is>
          <t>VANSBRO</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40066-2019</t>
        </is>
      </c>
      <c r="B1488" s="1" t="n">
        <v>43693</v>
      </c>
      <c r="C1488" s="1" t="n">
        <v>45706</v>
      </c>
      <c r="D1488" t="inlineStr">
        <is>
          <t>DALARNAS LÄN</t>
        </is>
      </c>
      <c r="E1488" t="inlineStr">
        <is>
          <t>AVESTA</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40203-2019</t>
        </is>
      </c>
      <c r="B1489" s="1" t="n">
        <v>43693</v>
      </c>
      <c r="C1489" s="1" t="n">
        <v>45706</v>
      </c>
      <c r="D1489" t="inlineStr">
        <is>
          <t>DALARNAS LÄN</t>
        </is>
      </c>
      <c r="E1489" t="inlineStr">
        <is>
          <t>VANSBRO</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40035-2019</t>
        </is>
      </c>
      <c r="B1490" s="1" t="n">
        <v>43693</v>
      </c>
      <c r="C1490" s="1" t="n">
        <v>45706</v>
      </c>
      <c r="D1490" t="inlineStr">
        <is>
          <t>DALARNAS LÄN</t>
        </is>
      </c>
      <c r="E1490" t="inlineStr">
        <is>
          <t>GAGNEF</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40068-2019</t>
        </is>
      </c>
      <c r="B1491" s="1" t="n">
        <v>43693</v>
      </c>
      <c r="C1491" s="1" t="n">
        <v>45706</v>
      </c>
      <c r="D1491" t="inlineStr">
        <is>
          <t>DALARNAS LÄN</t>
        </is>
      </c>
      <c r="E1491" t="inlineStr">
        <is>
          <t>AVESTA</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40937-2019</t>
        </is>
      </c>
      <c r="B1492" s="1" t="n">
        <v>43693</v>
      </c>
      <c r="C1492" s="1" t="n">
        <v>45706</v>
      </c>
      <c r="D1492" t="inlineStr">
        <is>
          <t>DALARNAS LÄN</t>
        </is>
      </c>
      <c r="E1492" t="inlineStr">
        <is>
          <t>SÄTER</t>
        </is>
      </c>
      <c r="F1492" t="inlineStr">
        <is>
          <t>Bergvik skog väst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40910-2019</t>
        </is>
      </c>
      <c r="B1493" s="1" t="n">
        <v>43693</v>
      </c>
      <c r="C1493" s="1" t="n">
        <v>45706</v>
      </c>
      <c r="D1493" t="inlineStr">
        <is>
          <t>DALARNAS LÄN</t>
        </is>
      </c>
      <c r="E1493" t="inlineStr">
        <is>
          <t>MORA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41087-2019</t>
        </is>
      </c>
      <c r="B1494" s="1" t="n">
        <v>43693</v>
      </c>
      <c r="C1494" s="1" t="n">
        <v>45706</v>
      </c>
      <c r="D1494" t="inlineStr">
        <is>
          <t>DALARNAS LÄN</t>
        </is>
      </c>
      <c r="E1494" t="inlineStr">
        <is>
          <t>SÄTER</t>
        </is>
      </c>
      <c r="F1494" t="inlineStr">
        <is>
          <t>Bergvik skog väst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40088-2019</t>
        </is>
      </c>
      <c r="B1495" s="1" t="n">
        <v>43693</v>
      </c>
      <c r="C1495" s="1" t="n">
        <v>45706</v>
      </c>
      <c r="D1495" t="inlineStr">
        <is>
          <t>DALARNAS LÄN</t>
        </is>
      </c>
      <c r="E1495" t="inlineStr">
        <is>
          <t>AVESTA</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40058-2019</t>
        </is>
      </c>
      <c r="B1496" s="1" t="n">
        <v>43693</v>
      </c>
      <c r="C1496" s="1" t="n">
        <v>45706</v>
      </c>
      <c r="D1496" t="inlineStr">
        <is>
          <t>DALARNAS LÄN</t>
        </is>
      </c>
      <c r="E1496" t="inlineStr">
        <is>
          <t>AVESTA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40920-2019</t>
        </is>
      </c>
      <c r="B1497" s="1" t="n">
        <v>43693</v>
      </c>
      <c r="C1497" s="1" t="n">
        <v>45706</v>
      </c>
      <c r="D1497" t="inlineStr">
        <is>
          <t>DALARNAS LÄN</t>
        </is>
      </c>
      <c r="E1497" t="inlineStr">
        <is>
          <t>SÄTER</t>
        </is>
      </c>
      <c r="F1497" t="inlineStr">
        <is>
          <t>Bergvik skog väst AB</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40201-2019</t>
        </is>
      </c>
      <c r="B1498" s="1" t="n">
        <v>43693</v>
      </c>
      <c r="C1498" s="1" t="n">
        <v>45706</v>
      </c>
      <c r="D1498" t="inlineStr">
        <is>
          <t>DALARNAS LÄN</t>
        </is>
      </c>
      <c r="E1498" t="inlineStr">
        <is>
          <t>VANSBRO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40358-2019</t>
        </is>
      </c>
      <c r="B1499" s="1" t="n">
        <v>43696</v>
      </c>
      <c r="C1499" s="1" t="n">
        <v>45706</v>
      </c>
      <c r="D1499" t="inlineStr">
        <is>
          <t>DALARNAS LÄN</t>
        </is>
      </c>
      <c r="E1499" t="inlineStr">
        <is>
          <t>LUDVIKA</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40568-2019</t>
        </is>
      </c>
      <c r="B1500" s="1" t="n">
        <v>43696</v>
      </c>
      <c r="C1500" s="1" t="n">
        <v>45706</v>
      </c>
      <c r="D1500" t="inlineStr">
        <is>
          <t>DALARNAS LÄN</t>
        </is>
      </c>
      <c r="E1500" t="inlineStr">
        <is>
          <t>SÄTER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40828-2019</t>
        </is>
      </c>
      <c r="B1501" s="1" t="n">
        <v>43697</v>
      </c>
      <c r="C1501" s="1" t="n">
        <v>45706</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40853-2019</t>
        </is>
      </c>
      <c r="B1502" s="1" t="n">
        <v>43697</v>
      </c>
      <c r="C1502" s="1" t="n">
        <v>45706</v>
      </c>
      <c r="D1502" t="inlineStr">
        <is>
          <t>DALARNAS LÄN</t>
        </is>
      </c>
      <c r="E1502" t="inlineStr">
        <is>
          <t>RÄTTVIK</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40919-2019</t>
        </is>
      </c>
      <c r="B1503" s="1" t="n">
        <v>43697</v>
      </c>
      <c r="C1503" s="1" t="n">
        <v>45706</v>
      </c>
      <c r="D1503" t="inlineStr">
        <is>
          <t>DALARNAS LÄN</t>
        </is>
      </c>
      <c r="E1503" t="inlineStr">
        <is>
          <t>HEDEMORA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41062-2019</t>
        </is>
      </c>
      <c r="B1504" s="1" t="n">
        <v>43698</v>
      </c>
      <c r="C1504" s="1" t="n">
        <v>45706</v>
      </c>
      <c r="D1504" t="inlineStr">
        <is>
          <t>DALARNAS LÄN</t>
        </is>
      </c>
      <c r="E1504" t="inlineStr">
        <is>
          <t>AVESTA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41335-2019</t>
        </is>
      </c>
      <c r="B1505" s="1" t="n">
        <v>43698</v>
      </c>
      <c r="C1505" s="1" t="n">
        <v>45706</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41399-2019</t>
        </is>
      </c>
      <c r="B1506" s="1" t="n">
        <v>43698</v>
      </c>
      <c r="C1506" s="1" t="n">
        <v>45706</v>
      </c>
      <c r="D1506" t="inlineStr">
        <is>
          <t>DALARNAS LÄN</t>
        </is>
      </c>
      <c r="E1506" t="inlineStr">
        <is>
          <t>HEDEMORA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41242-2019</t>
        </is>
      </c>
      <c r="B1507" s="1" t="n">
        <v>43698</v>
      </c>
      <c r="C1507" s="1" t="n">
        <v>45706</v>
      </c>
      <c r="D1507" t="inlineStr">
        <is>
          <t>DALARNAS LÄN</t>
        </is>
      </c>
      <c r="E1507" t="inlineStr">
        <is>
          <t>ÄLVDALEN</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41329-2019</t>
        </is>
      </c>
      <c r="B1508" s="1" t="n">
        <v>43698</v>
      </c>
      <c r="C1508" s="1" t="n">
        <v>45706</v>
      </c>
      <c r="D1508" t="inlineStr">
        <is>
          <t>DALARNAS LÄN</t>
        </is>
      </c>
      <c r="E1508" t="inlineStr">
        <is>
          <t>LEKSAND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41395-2019</t>
        </is>
      </c>
      <c r="B1509" s="1" t="n">
        <v>43698</v>
      </c>
      <c r="C1509" s="1" t="n">
        <v>45706</v>
      </c>
      <c r="D1509" t="inlineStr">
        <is>
          <t>DALARNAS LÄN</t>
        </is>
      </c>
      <c r="E1509" t="inlineStr">
        <is>
          <t>LUDVIKA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42530-2019</t>
        </is>
      </c>
      <c r="B1510" s="1" t="n">
        <v>43698</v>
      </c>
      <c r="C1510" s="1" t="n">
        <v>45706</v>
      </c>
      <c r="D1510" t="inlineStr">
        <is>
          <t>DALARNAS LÄN</t>
        </is>
      </c>
      <c r="E1510" t="inlineStr">
        <is>
          <t>MORA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41421-2019</t>
        </is>
      </c>
      <c r="B1511" s="1" t="n">
        <v>43698</v>
      </c>
      <c r="C1511" s="1" t="n">
        <v>45706</v>
      </c>
      <c r="D1511" t="inlineStr">
        <is>
          <t>DALARNAS LÄN</t>
        </is>
      </c>
      <c r="E1511" t="inlineStr">
        <is>
          <t>SMEDJEBACKEN</t>
        </is>
      </c>
      <c r="F1511" t="inlineStr">
        <is>
          <t>Kyrkan</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41066-2019</t>
        </is>
      </c>
      <c r="B1512" s="1" t="n">
        <v>43698</v>
      </c>
      <c r="C1512" s="1" t="n">
        <v>45706</v>
      </c>
      <c r="D1512" t="inlineStr">
        <is>
          <t>DALARNAS LÄN</t>
        </is>
      </c>
      <c r="E1512" t="inlineStr">
        <is>
          <t>AVESTA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41472-2019</t>
        </is>
      </c>
      <c r="B1513" s="1" t="n">
        <v>43699</v>
      </c>
      <c r="C1513" s="1" t="n">
        <v>45706</v>
      </c>
      <c r="D1513" t="inlineStr">
        <is>
          <t>DALARNAS LÄN</t>
        </is>
      </c>
      <c r="E1513" t="inlineStr">
        <is>
          <t>SÄTER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41803-2019</t>
        </is>
      </c>
      <c r="B1514" s="1" t="n">
        <v>43700</v>
      </c>
      <c r="C1514" s="1" t="n">
        <v>45706</v>
      </c>
      <c r="D1514" t="inlineStr">
        <is>
          <t>DALARNAS LÄN</t>
        </is>
      </c>
      <c r="E1514" t="inlineStr">
        <is>
          <t>SMEDJEBACKEN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41986-2019</t>
        </is>
      </c>
      <c r="B1515" s="1" t="n">
        <v>43700</v>
      </c>
      <c r="C1515" s="1" t="n">
        <v>45706</v>
      </c>
      <c r="D1515" t="inlineStr">
        <is>
          <t>DALARNAS LÄN</t>
        </is>
      </c>
      <c r="E1515" t="inlineStr">
        <is>
          <t>SMEDJEBACKEN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41995-2019</t>
        </is>
      </c>
      <c r="B1516" s="1" t="n">
        <v>43700</v>
      </c>
      <c r="C1516" s="1" t="n">
        <v>45706</v>
      </c>
      <c r="D1516" t="inlineStr">
        <is>
          <t>DALARNAS LÄN</t>
        </is>
      </c>
      <c r="E1516" t="inlineStr">
        <is>
          <t>VANSBRO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42881-2019</t>
        </is>
      </c>
      <c r="B1517" s="1" t="n">
        <v>43700</v>
      </c>
      <c r="C1517" s="1" t="n">
        <v>45706</v>
      </c>
      <c r="D1517" t="inlineStr">
        <is>
          <t>DALARNAS LÄN</t>
        </is>
      </c>
      <c r="E1517" t="inlineStr">
        <is>
          <t>MALUNG-SÄLEN</t>
        </is>
      </c>
      <c r="F1517" t="inlineStr">
        <is>
          <t>Allmännings- och besparingsskogar</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42846-2019</t>
        </is>
      </c>
      <c r="B1518" s="1" t="n">
        <v>43700</v>
      </c>
      <c r="C1518" s="1" t="n">
        <v>45706</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42889-2019</t>
        </is>
      </c>
      <c r="B1519" s="1" t="n">
        <v>43700</v>
      </c>
      <c r="C1519" s="1" t="n">
        <v>45706</v>
      </c>
      <c r="D1519" t="inlineStr">
        <is>
          <t>DALARNAS LÄN</t>
        </is>
      </c>
      <c r="E1519" t="inlineStr">
        <is>
          <t>MALUNG-SÄLEN</t>
        </is>
      </c>
      <c r="F1519" t="inlineStr">
        <is>
          <t>Allmännings- och besparingsskogar</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41853-2019</t>
        </is>
      </c>
      <c r="B1520" s="1" t="n">
        <v>43700</v>
      </c>
      <c r="C1520" s="1" t="n">
        <v>45706</v>
      </c>
      <c r="D1520" t="inlineStr">
        <is>
          <t>DALARNAS LÄN</t>
        </is>
      </c>
      <c r="E1520" t="inlineStr">
        <is>
          <t>GAGNEF</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42849-2019</t>
        </is>
      </c>
      <c r="B1521" s="1" t="n">
        <v>43700</v>
      </c>
      <c r="C1521" s="1" t="n">
        <v>45706</v>
      </c>
      <c r="D1521" t="inlineStr">
        <is>
          <t>DALARNAS LÄN</t>
        </is>
      </c>
      <c r="E1521" t="inlineStr">
        <is>
          <t>LUDVIKA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42186-2019</t>
        </is>
      </c>
      <c r="B1522" s="1" t="n">
        <v>43703</v>
      </c>
      <c r="C1522" s="1" t="n">
        <v>45706</v>
      </c>
      <c r="D1522" t="inlineStr">
        <is>
          <t>DALARNAS LÄN</t>
        </is>
      </c>
      <c r="E1522" t="inlineStr">
        <is>
          <t>SMEDJEBACKEN</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42201-2019</t>
        </is>
      </c>
      <c r="B1523" s="1" t="n">
        <v>43703</v>
      </c>
      <c r="C1523" s="1" t="n">
        <v>45706</v>
      </c>
      <c r="D1523" t="inlineStr">
        <is>
          <t>DALARNAS LÄN</t>
        </is>
      </c>
      <c r="E1523" t="inlineStr">
        <is>
          <t>SMEDJEBACKEN</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42172-2019</t>
        </is>
      </c>
      <c r="B1524" s="1" t="n">
        <v>43703</v>
      </c>
      <c r="C1524" s="1" t="n">
        <v>45706</v>
      </c>
      <c r="D1524" t="inlineStr">
        <is>
          <t>DALARNAS LÄN</t>
        </is>
      </c>
      <c r="E1524" t="inlineStr">
        <is>
          <t>MALUNG-SÄLEN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42684-2019</t>
        </is>
      </c>
      <c r="B1525" s="1" t="n">
        <v>43703</v>
      </c>
      <c r="C1525" s="1" t="n">
        <v>45706</v>
      </c>
      <c r="D1525" t="inlineStr">
        <is>
          <t>DALARNAS LÄN</t>
        </is>
      </c>
      <c r="E1525" t="inlineStr">
        <is>
          <t>SMEDJEBACKEN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43290-2019</t>
        </is>
      </c>
      <c r="B1526" s="1" t="n">
        <v>43703</v>
      </c>
      <c r="C1526" s="1" t="n">
        <v>45706</v>
      </c>
      <c r="D1526" t="inlineStr">
        <is>
          <t>DALARNAS LÄN</t>
        </is>
      </c>
      <c r="E1526" t="inlineStr">
        <is>
          <t>VANSBRO</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43396-2019</t>
        </is>
      </c>
      <c r="B1527" s="1" t="n">
        <v>43703</v>
      </c>
      <c r="C1527" s="1" t="n">
        <v>45706</v>
      </c>
      <c r="D1527" t="inlineStr">
        <is>
          <t>DALARNAS LÄN</t>
        </is>
      </c>
      <c r="E1527" t="inlineStr">
        <is>
          <t>MORA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42531-2019</t>
        </is>
      </c>
      <c r="B1528" s="1" t="n">
        <v>43704</v>
      </c>
      <c r="C1528" s="1" t="n">
        <v>45706</v>
      </c>
      <c r="D1528" t="inlineStr">
        <is>
          <t>DALARNAS LÄN</t>
        </is>
      </c>
      <c r="E1528" t="inlineStr">
        <is>
          <t>BORLÄNGE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42540-2019</t>
        </is>
      </c>
      <c r="B1529" s="1" t="n">
        <v>43704</v>
      </c>
      <c r="C1529" s="1" t="n">
        <v>45706</v>
      </c>
      <c r="D1529" t="inlineStr">
        <is>
          <t>DALARNAS LÄN</t>
        </is>
      </c>
      <c r="E1529" t="inlineStr">
        <is>
          <t>BORLÄNGE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42576-2019</t>
        </is>
      </c>
      <c r="B1530" s="1" t="n">
        <v>43704</v>
      </c>
      <c r="C1530" s="1" t="n">
        <v>45706</v>
      </c>
      <c r="D1530" t="inlineStr">
        <is>
          <t>DALARNAS LÄN</t>
        </is>
      </c>
      <c r="E1530" t="inlineStr">
        <is>
          <t>SMEDJEBACKEN</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42743-2019</t>
        </is>
      </c>
      <c r="B1531" s="1" t="n">
        <v>43704</v>
      </c>
      <c r="C1531" s="1" t="n">
        <v>45706</v>
      </c>
      <c r="D1531" t="inlineStr">
        <is>
          <t>DALARNAS LÄN</t>
        </is>
      </c>
      <c r="E1531" t="inlineStr">
        <is>
          <t>VANSBRO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42601-2019</t>
        </is>
      </c>
      <c r="B1532" s="1" t="n">
        <v>43704</v>
      </c>
      <c r="C1532" s="1" t="n">
        <v>45706</v>
      </c>
      <c r="D1532" t="inlineStr">
        <is>
          <t>DALARNAS LÄN</t>
        </is>
      </c>
      <c r="E1532" t="inlineStr">
        <is>
          <t>FALUN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43074-2019</t>
        </is>
      </c>
      <c r="B1533" s="1" t="n">
        <v>43705</v>
      </c>
      <c r="C1533" s="1" t="n">
        <v>45706</v>
      </c>
      <c r="D1533" t="inlineStr">
        <is>
          <t>DALARNAS LÄN</t>
        </is>
      </c>
      <c r="E1533" t="inlineStr">
        <is>
          <t>LUDVIKA</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42949-2019</t>
        </is>
      </c>
      <c r="B1534" s="1" t="n">
        <v>43705</v>
      </c>
      <c r="C1534" s="1" t="n">
        <v>45706</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43082-2019</t>
        </is>
      </c>
      <c r="B1535" s="1" t="n">
        <v>43705</v>
      </c>
      <c r="C1535" s="1" t="n">
        <v>45706</v>
      </c>
      <c r="D1535" t="inlineStr">
        <is>
          <t>DALARNAS LÄN</t>
        </is>
      </c>
      <c r="E1535" t="inlineStr">
        <is>
          <t>LEKSAND</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44384-2019</t>
        </is>
      </c>
      <c r="B1536" s="1" t="n">
        <v>43705</v>
      </c>
      <c r="C1536" s="1" t="n">
        <v>45706</v>
      </c>
      <c r="D1536" t="inlineStr">
        <is>
          <t>DALARNAS LÄN</t>
        </is>
      </c>
      <c r="E1536" t="inlineStr">
        <is>
          <t>GAGNEF</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43403-2019</t>
        </is>
      </c>
      <c r="B1537" s="1" t="n">
        <v>43706</v>
      </c>
      <c r="C1537" s="1" t="n">
        <v>45706</v>
      </c>
      <c r="D1537" t="inlineStr">
        <is>
          <t>DALARNAS LÄN</t>
        </is>
      </c>
      <c r="E1537" t="inlineStr">
        <is>
          <t>ORSA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43530-2019</t>
        </is>
      </c>
      <c r="B1538" s="1" t="n">
        <v>43706</v>
      </c>
      <c r="C1538" s="1" t="n">
        <v>45706</v>
      </c>
      <c r="D1538" t="inlineStr">
        <is>
          <t>DALARNAS LÄN</t>
        </is>
      </c>
      <c r="E1538" t="inlineStr">
        <is>
          <t>HEDEMORA</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43540-2019</t>
        </is>
      </c>
      <c r="B1539" s="1" t="n">
        <v>43706</v>
      </c>
      <c r="C1539" s="1" t="n">
        <v>45706</v>
      </c>
      <c r="D1539" t="inlineStr">
        <is>
          <t>DALARNAS LÄN</t>
        </is>
      </c>
      <c r="E1539" t="inlineStr">
        <is>
          <t>ÄLVDALEN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43543-2019</t>
        </is>
      </c>
      <c r="B1540" s="1" t="n">
        <v>43706</v>
      </c>
      <c r="C1540" s="1" t="n">
        <v>45706</v>
      </c>
      <c r="D1540" t="inlineStr">
        <is>
          <t>DALARNAS LÄN</t>
        </is>
      </c>
      <c r="E1540" t="inlineStr">
        <is>
          <t>ÄLVDALEN</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43523-2019</t>
        </is>
      </c>
      <c r="B1541" s="1" t="n">
        <v>43706</v>
      </c>
      <c r="C1541" s="1" t="n">
        <v>45706</v>
      </c>
      <c r="D1541" t="inlineStr">
        <is>
          <t>DALARNAS LÄN</t>
        </is>
      </c>
      <c r="E1541" t="inlineStr">
        <is>
          <t>AVESTA</t>
        </is>
      </c>
      <c r="F1541" t="inlineStr">
        <is>
          <t>Kyrkan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43510-2019</t>
        </is>
      </c>
      <c r="B1542" s="1" t="n">
        <v>43706</v>
      </c>
      <c r="C1542" s="1" t="n">
        <v>45706</v>
      </c>
      <c r="D1542" t="inlineStr">
        <is>
          <t>DALARNAS LÄN</t>
        </is>
      </c>
      <c r="E1542" t="inlineStr">
        <is>
          <t>SMEDJEBACKEN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43744-2019</t>
        </is>
      </c>
      <c r="B1543" s="1" t="n">
        <v>43707</v>
      </c>
      <c r="C1543" s="1" t="n">
        <v>45706</v>
      </c>
      <c r="D1543" t="inlineStr">
        <is>
          <t>DALARNAS LÄN</t>
        </is>
      </c>
      <c r="E1543" t="inlineStr">
        <is>
          <t>MORA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43718-2019</t>
        </is>
      </c>
      <c r="B1544" s="1" t="n">
        <v>43707</v>
      </c>
      <c r="C1544" s="1" t="n">
        <v>45706</v>
      </c>
      <c r="D1544" t="inlineStr">
        <is>
          <t>DALARNAS LÄN</t>
        </is>
      </c>
      <c r="E1544" t="inlineStr">
        <is>
          <t>MORA</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43835-2019</t>
        </is>
      </c>
      <c r="B1545" s="1" t="n">
        <v>43707</v>
      </c>
      <c r="C1545" s="1" t="n">
        <v>45706</v>
      </c>
      <c r="D1545" t="inlineStr">
        <is>
          <t>DALARNAS LÄN</t>
        </is>
      </c>
      <c r="E1545" t="inlineStr">
        <is>
          <t>BORLÄNGE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43887-2019</t>
        </is>
      </c>
      <c r="B1546" s="1" t="n">
        <v>43707</v>
      </c>
      <c r="C1546" s="1" t="n">
        <v>45706</v>
      </c>
      <c r="D1546" t="inlineStr">
        <is>
          <t>DALARNAS LÄN</t>
        </is>
      </c>
      <c r="E1546" t="inlineStr">
        <is>
          <t>LEKSAND</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44759-2019</t>
        </is>
      </c>
      <c r="B1547" s="1" t="n">
        <v>43707</v>
      </c>
      <c r="C1547" s="1" t="n">
        <v>45706</v>
      </c>
      <c r="D1547" t="inlineStr">
        <is>
          <t>DALARNAS LÄN</t>
        </is>
      </c>
      <c r="E1547" t="inlineStr">
        <is>
          <t>MORA</t>
        </is>
      </c>
      <c r="F1547" t="inlineStr">
        <is>
          <t>Allmännings- och besparingsskogar</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43884-2019</t>
        </is>
      </c>
      <c r="B1548" s="1" t="n">
        <v>43707</v>
      </c>
      <c r="C1548" s="1" t="n">
        <v>45706</v>
      </c>
      <c r="D1548" t="inlineStr">
        <is>
          <t>DALARNAS LÄN</t>
        </is>
      </c>
      <c r="E1548" t="inlineStr">
        <is>
          <t>LEKSAND</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44766-2019</t>
        </is>
      </c>
      <c r="B1549" s="1" t="n">
        <v>43707</v>
      </c>
      <c r="C1549" s="1" t="n">
        <v>45706</v>
      </c>
      <c r="D1549" t="inlineStr">
        <is>
          <t>DALARNAS LÄN</t>
        </is>
      </c>
      <c r="E1549" t="inlineStr">
        <is>
          <t>MORA</t>
        </is>
      </c>
      <c r="F1549" t="inlineStr">
        <is>
          <t>Allmännings- och besparingsskogar</t>
        </is>
      </c>
      <c r="G1549" t="n">
        <v>32.2</v>
      </c>
      <c r="H1549" t="n">
        <v>0</v>
      </c>
      <c r="I1549" t="n">
        <v>0</v>
      </c>
      <c r="J1549" t="n">
        <v>0</v>
      </c>
      <c r="K1549" t="n">
        <v>0</v>
      </c>
      <c r="L1549" t="n">
        <v>0</v>
      </c>
      <c r="M1549" t="n">
        <v>0</v>
      </c>
      <c r="N1549" t="n">
        <v>0</v>
      </c>
      <c r="O1549" t="n">
        <v>0</v>
      </c>
      <c r="P1549" t="n">
        <v>0</v>
      </c>
      <c r="Q1549" t="n">
        <v>0</v>
      </c>
      <c r="R1549" s="2" t="inlineStr"/>
    </row>
    <row r="1550" ht="15" customHeight="1">
      <c r="A1550" t="inlineStr">
        <is>
          <t>A 44118-2019</t>
        </is>
      </c>
      <c r="B1550" s="1" t="n">
        <v>43710</v>
      </c>
      <c r="C1550" s="1" t="n">
        <v>45706</v>
      </c>
      <c r="D1550" t="inlineStr">
        <is>
          <t>DALARNAS LÄN</t>
        </is>
      </c>
      <c r="E1550" t="inlineStr">
        <is>
          <t>VANSBRO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44058-2019</t>
        </is>
      </c>
      <c r="B1551" s="1" t="n">
        <v>43710</v>
      </c>
      <c r="C1551" s="1" t="n">
        <v>45706</v>
      </c>
      <c r="D1551" t="inlineStr">
        <is>
          <t>DALARNAS LÄN</t>
        </is>
      </c>
      <c r="E1551" t="inlineStr">
        <is>
          <t>LEKSAND</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44126-2019</t>
        </is>
      </c>
      <c r="B1552" s="1" t="n">
        <v>43710</v>
      </c>
      <c r="C1552" s="1" t="n">
        <v>45706</v>
      </c>
      <c r="D1552" t="inlineStr">
        <is>
          <t>DALARNAS LÄN</t>
        </is>
      </c>
      <c r="E1552" t="inlineStr">
        <is>
          <t>VANSBRO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44092-2019</t>
        </is>
      </c>
      <c r="B1553" s="1" t="n">
        <v>43710</v>
      </c>
      <c r="C1553" s="1" t="n">
        <v>45706</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44376-2019</t>
        </is>
      </c>
      <c r="B1554" s="1" t="n">
        <v>43711</v>
      </c>
      <c r="C1554" s="1" t="n">
        <v>45706</v>
      </c>
      <c r="D1554" t="inlineStr">
        <is>
          <t>DALARNAS LÄN</t>
        </is>
      </c>
      <c r="E1554" t="inlineStr">
        <is>
          <t>RÄTTVIK</t>
        </is>
      </c>
      <c r="F1554" t="inlineStr">
        <is>
          <t>Bergvik skog väst AB</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44601-2019</t>
        </is>
      </c>
      <c r="B1555" s="1" t="n">
        <v>43711</v>
      </c>
      <c r="C1555" s="1" t="n">
        <v>45706</v>
      </c>
      <c r="D1555" t="inlineStr">
        <is>
          <t>DALARNAS LÄN</t>
        </is>
      </c>
      <c r="E1555" t="inlineStr">
        <is>
          <t>SÄTER</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44697-2019</t>
        </is>
      </c>
      <c r="B1556" s="1" t="n">
        <v>43712</v>
      </c>
      <c r="C1556" s="1" t="n">
        <v>45706</v>
      </c>
      <c r="D1556" t="inlineStr">
        <is>
          <t>DALARNAS LÄN</t>
        </is>
      </c>
      <c r="E1556" t="inlineStr">
        <is>
          <t>RÄTTVIK</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46167-2019</t>
        </is>
      </c>
      <c r="B1557" s="1" t="n">
        <v>43712</v>
      </c>
      <c r="C1557" s="1" t="n">
        <v>45706</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44663-2019</t>
        </is>
      </c>
      <c r="B1558" s="1" t="n">
        <v>43712</v>
      </c>
      <c r="C1558" s="1" t="n">
        <v>45706</v>
      </c>
      <c r="D1558" t="inlineStr">
        <is>
          <t>DALARNAS LÄN</t>
        </is>
      </c>
      <c r="E1558" t="inlineStr">
        <is>
          <t>AVESTA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44934-2019</t>
        </is>
      </c>
      <c r="B1559" s="1" t="n">
        <v>43713</v>
      </c>
      <c r="C1559" s="1" t="n">
        <v>45706</v>
      </c>
      <c r="D1559" t="inlineStr">
        <is>
          <t>DALARNAS LÄN</t>
        </is>
      </c>
      <c r="E1559" t="inlineStr">
        <is>
          <t>MALUNG-SÄLEN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44952-2019</t>
        </is>
      </c>
      <c r="B1560" s="1" t="n">
        <v>43713</v>
      </c>
      <c r="C1560" s="1" t="n">
        <v>45706</v>
      </c>
      <c r="D1560" t="inlineStr">
        <is>
          <t>DALARNAS LÄN</t>
        </is>
      </c>
      <c r="E1560" t="inlineStr">
        <is>
          <t>VANSBRO</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44944-2019</t>
        </is>
      </c>
      <c r="B1561" s="1" t="n">
        <v>43713</v>
      </c>
      <c r="C1561" s="1" t="n">
        <v>45706</v>
      </c>
      <c r="D1561" t="inlineStr">
        <is>
          <t>DALARNAS LÄN</t>
        </is>
      </c>
      <c r="E1561" t="inlineStr">
        <is>
          <t>FALUN</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44909-2019</t>
        </is>
      </c>
      <c r="B1562" s="1" t="n">
        <v>43713</v>
      </c>
      <c r="C1562" s="1" t="n">
        <v>45706</v>
      </c>
      <c r="D1562" t="inlineStr">
        <is>
          <t>DALARNAS LÄN</t>
        </is>
      </c>
      <c r="E1562" t="inlineStr">
        <is>
          <t>VANSBRO</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44937-2019</t>
        </is>
      </c>
      <c r="B1563" s="1" t="n">
        <v>43713</v>
      </c>
      <c r="C1563" s="1" t="n">
        <v>45706</v>
      </c>
      <c r="D1563" t="inlineStr">
        <is>
          <t>DALARNAS LÄN</t>
        </is>
      </c>
      <c r="E1563" t="inlineStr">
        <is>
          <t>FALUN</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45135-2019</t>
        </is>
      </c>
      <c r="B1564" s="1" t="n">
        <v>43713</v>
      </c>
      <c r="C1564" s="1" t="n">
        <v>45706</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47233-2019</t>
        </is>
      </c>
      <c r="B1565" s="1" t="n">
        <v>43713</v>
      </c>
      <c r="C1565" s="1" t="n">
        <v>45706</v>
      </c>
      <c r="D1565" t="inlineStr">
        <is>
          <t>DALARNAS LÄN</t>
        </is>
      </c>
      <c r="E1565" t="inlineStr">
        <is>
          <t>MALUNG-SÄLEN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45119-2019</t>
        </is>
      </c>
      <c r="B1566" s="1" t="n">
        <v>43713</v>
      </c>
      <c r="C1566" s="1" t="n">
        <v>45706</v>
      </c>
      <c r="D1566" t="inlineStr">
        <is>
          <t>DALARNAS LÄN</t>
        </is>
      </c>
      <c r="E1566" t="inlineStr">
        <is>
          <t>FALUN</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47236-2019</t>
        </is>
      </c>
      <c r="B1567" s="1" t="n">
        <v>43713</v>
      </c>
      <c r="C1567" s="1" t="n">
        <v>45706</v>
      </c>
      <c r="D1567" t="inlineStr">
        <is>
          <t>DALARNAS LÄN</t>
        </is>
      </c>
      <c r="E1567" t="inlineStr">
        <is>
          <t>MALUNG-SÄLEN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45991-2019</t>
        </is>
      </c>
      <c r="B1568" s="1" t="n">
        <v>43713</v>
      </c>
      <c r="C1568" s="1" t="n">
        <v>45706</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45996-2019</t>
        </is>
      </c>
      <c r="B1569" s="1" t="n">
        <v>43713</v>
      </c>
      <c r="C1569" s="1" t="n">
        <v>45706</v>
      </c>
      <c r="D1569" t="inlineStr">
        <is>
          <t>DALARNAS LÄN</t>
        </is>
      </c>
      <c r="E1569" t="inlineStr">
        <is>
          <t>ORSA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45526-2019</t>
        </is>
      </c>
      <c r="B1570" s="1" t="n">
        <v>43714</v>
      </c>
      <c r="C1570" s="1" t="n">
        <v>45706</v>
      </c>
      <c r="D1570" t="inlineStr">
        <is>
          <t>DALARNAS LÄN</t>
        </is>
      </c>
      <c r="E1570" t="inlineStr">
        <is>
          <t>LEKSAND</t>
        </is>
      </c>
      <c r="F1570" t="inlineStr">
        <is>
          <t>Bergvik skog väst AB</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45283-2019</t>
        </is>
      </c>
      <c r="B1571" s="1" t="n">
        <v>43714</v>
      </c>
      <c r="C1571" s="1" t="n">
        <v>45706</v>
      </c>
      <c r="D1571" t="inlineStr">
        <is>
          <t>DALARNAS LÄN</t>
        </is>
      </c>
      <c r="E1571" t="inlineStr">
        <is>
          <t>FALUN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46240-2019</t>
        </is>
      </c>
      <c r="B1572" s="1" t="n">
        <v>43714</v>
      </c>
      <c r="C1572" s="1" t="n">
        <v>45706</v>
      </c>
      <c r="D1572" t="inlineStr">
        <is>
          <t>DALARNAS LÄN</t>
        </is>
      </c>
      <c r="E1572" t="inlineStr">
        <is>
          <t>ÄLVDALEN</t>
        </is>
      </c>
      <c r="G1572" t="n">
        <v>19.4</v>
      </c>
      <c r="H1572" t="n">
        <v>0</v>
      </c>
      <c r="I1572" t="n">
        <v>0</v>
      </c>
      <c r="J1572" t="n">
        <v>0</v>
      </c>
      <c r="K1572" t="n">
        <v>0</v>
      </c>
      <c r="L1572" t="n">
        <v>0</v>
      </c>
      <c r="M1572" t="n">
        <v>0</v>
      </c>
      <c r="N1572" t="n">
        <v>0</v>
      </c>
      <c r="O1572" t="n">
        <v>0</v>
      </c>
      <c r="P1572" t="n">
        <v>0</v>
      </c>
      <c r="Q1572" t="n">
        <v>0</v>
      </c>
      <c r="R1572" s="2" t="inlineStr"/>
    </row>
    <row r="1573" ht="15" customHeight="1">
      <c r="A1573" t="inlineStr">
        <is>
          <t>A 46214-2019</t>
        </is>
      </c>
      <c r="B1573" s="1" t="n">
        <v>43714</v>
      </c>
      <c r="C1573" s="1" t="n">
        <v>45706</v>
      </c>
      <c r="D1573" t="inlineStr">
        <is>
          <t>DALARNAS LÄN</t>
        </is>
      </c>
      <c r="E1573" t="inlineStr">
        <is>
          <t>RÄTTVIK</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45480-2019</t>
        </is>
      </c>
      <c r="B1574" s="1" t="n">
        <v>43714</v>
      </c>
      <c r="C1574" s="1" t="n">
        <v>45706</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45513-2019</t>
        </is>
      </c>
      <c r="B1575" s="1" t="n">
        <v>43714</v>
      </c>
      <c r="C1575" s="1" t="n">
        <v>45706</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46213-2019</t>
        </is>
      </c>
      <c r="B1576" s="1" t="n">
        <v>43714</v>
      </c>
      <c r="C1576" s="1" t="n">
        <v>45706</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45572-2019</t>
        </is>
      </c>
      <c r="B1577" s="1" t="n">
        <v>43716</v>
      </c>
      <c r="C1577" s="1" t="n">
        <v>45706</v>
      </c>
      <c r="D1577" t="inlineStr">
        <is>
          <t>DALARNAS LÄN</t>
        </is>
      </c>
      <c r="E1577" t="inlineStr">
        <is>
          <t>LEKSAND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45738-2019</t>
        </is>
      </c>
      <c r="B1578" s="1" t="n">
        <v>43717</v>
      </c>
      <c r="C1578" s="1" t="n">
        <v>45706</v>
      </c>
      <c r="D1578" t="inlineStr">
        <is>
          <t>DALARNAS LÄN</t>
        </is>
      </c>
      <c r="E1578" t="inlineStr">
        <is>
          <t>MALUNG-SÄLEN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45750-2019</t>
        </is>
      </c>
      <c r="B1579" s="1" t="n">
        <v>43717</v>
      </c>
      <c r="C1579" s="1" t="n">
        <v>45706</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45612-2019</t>
        </is>
      </c>
      <c r="B1580" s="1" t="n">
        <v>43717</v>
      </c>
      <c r="C1580" s="1" t="n">
        <v>45706</v>
      </c>
      <c r="D1580" t="inlineStr">
        <is>
          <t>DALARNAS LÄN</t>
        </is>
      </c>
      <c r="E1580" t="inlineStr">
        <is>
          <t>ORSA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45697-2019</t>
        </is>
      </c>
      <c r="B1581" s="1" t="n">
        <v>43717</v>
      </c>
      <c r="C1581" s="1" t="n">
        <v>45706</v>
      </c>
      <c r="D1581" t="inlineStr">
        <is>
          <t>DALARNAS LÄN</t>
        </is>
      </c>
      <c r="E1581" t="inlineStr">
        <is>
          <t>MALUNG-SÄLEN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45827-2019</t>
        </is>
      </c>
      <c r="B1582" s="1" t="n">
        <v>43717</v>
      </c>
      <c r="C1582" s="1" t="n">
        <v>45706</v>
      </c>
      <c r="D1582" t="inlineStr">
        <is>
          <t>DALARNAS LÄN</t>
        </is>
      </c>
      <c r="E1582" t="inlineStr">
        <is>
          <t>AVESTA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46525-2019</t>
        </is>
      </c>
      <c r="B1583" s="1" t="n">
        <v>43717</v>
      </c>
      <c r="C1583" s="1" t="n">
        <v>45706</v>
      </c>
      <c r="D1583" t="inlineStr">
        <is>
          <t>DALARNAS LÄN</t>
        </is>
      </c>
      <c r="E1583" t="inlineStr">
        <is>
          <t>RÄTTVIK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45989-2019</t>
        </is>
      </c>
      <c r="B1584" s="1" t="n">
        <v>43718</v>
      </c>
      <c r="C1584" s="1" t="n">
        <v>45706</v>
      </c>
      <c r="D1584" t="inlineStr">
        <is>
          <t>DALARNAS LÄN</t>
        </is>
      </c>
      <c r="E1584" t="inlineStr">
        <is>
          <t>MORA</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45942-2019</t>
        </is>
      </c>
      <c r="B1585" s="1" t="n">
        <v>43718</v>
      </c>
      <c r="C1585" s="1" t="n">
        <v>45706</v>
      </c>
      <c r="D1585" t="inlineStr">
        <is>
          <t>DALARNAS LÄN</t>
        </is>
      </c>
      <c r="E1585" t="inlineStr">
        <is>
          <t>VANSBRO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46119-2019</t>
        </is>
      </c>
      <c r="B1586" s="1" t="n">
        <v>43718</v>
      </c>
      <c r="C1586" s="1" t="n">
        <v>45706</v>
      </c>
      <c r="D1586" t="inlineStr">
        <is>
          <t>DALARNAS LÄN</t>
        </is>
      </c>
      <c r="E1586" t="inlineStr">
        <is>
          <t>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45598-2019</t>
        </is>
      </c>
      <c r="B1587" s="1" t="n">
        <v>43718</v>
      </c>
      <c r="C1587" s="1" t="n">
        <v>45706</v>
      </c>
      <c r="D1587" t="inlineStr">
        <is>
          <t>DALARNAS LÄN</t>
        </is>
      </c>
      <c r="E1587" t="inlineStr">
        <is>
          <t>RÄTTVIK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46171-2019</t>
        </is>
      </c>
      <c r="B1588" s="1" t="n">
        <v>43718</v>
      </c>
      <c r="C1588" s="1" t="n">
        <v>45706</v>
      </c>
      <c r="D1588" t="inlineStr">
        <is>
          <t>DALARNAS LÄN</t>
        </is>
      </c>
      <c r="E1588" t="inlineStr">
        <is>
          <t>MORA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45943-2019</t>
        </is>
      </c>
      <c r="B1589" s="1" t="n">
        <v>43718</v>
      </c>
      <c r="C1589" s="1" t="n">
        <v>45706</v>
      </c>
      <c r="D1589" t="inlineStr">
        <is>
          <t>DALARNAS LÄN</t>
        </is>
      </c>
      <c r="E1589" t="inlineStr">
        <is>
          <t>VANSBRO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46739-2019</t>
        </is>
      </c>
      <c r="B1590" s="1" t="n">
        <v>43719</v>
      </c>
      <c r="C1590" s="1" t="n">
        <v>45706</v>
      </c>
      <c r="D1590" t="inlineStr">
        <is>
          <t>DALARNAS LÄN</t>
        </is>
      </c>
      <c r="E1590" t="inlineStr">
        <is>
          <t>LEKSAND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46740-2019</t>
        </is>
      </c>
      <c r="B1591" s="1" t="n">
        <v>43719</v>
      </c>
      <c r="C1591" s="1" t="n">
        <v>45706</v>
      </c>
      <c r="D1591" t="inlineStr">
        <is>
          <t>DALARNAS LÄN</t>
        </is>
      </c>
      <c r="E1591" t="inlineStr">
        <is>
          <t>LEKSAND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46637-2019</t>
        </is>
      </c>
      <c r="B1592" s="1" t="n">
        <v>43719</v>
      </c>
      <c r="C1592" s="1" t="n">
        <v>45706</v>
      </c>
      <c r="D1592" t="inlineStr">
        <is>
          <t>DALARNAS LÄN</t>
        </is>
      </c>
      <c r="E1592" t="inlineStr">
        <is>
          <t>SÄTER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46775-2019</t>
        </is>
      </c>
      <c r="B1593" s="1" t="n">
        <v>43720</v>
      </c>
      <c r="C1593" s="1" t="n">
        <v>45706</v>
      </c>
      <c r="D1593" t="inlineStr">
        <is>
          <t>DALARNAS LÄN</t>
        </is>
      </c>
      <c r="E1593" t="inlineStr">
        <is>
          <t>HEDEMORA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47036-2019</t>
        </is>
      </c>
      <c r="B1594" s="1" t="n">
        <v>43720</v>
      </c>
      <c r="C1594" s="1" t="n">
        <v>45706</v>
      </c>
      <c r="D1594" t="inlineStr">
        <is>
          <t>DALARNAS LÄN</t>
        </is>
      </c>
      <c r="E1594" t="inlineStr">
        <is>
          <t>RÄTTVIK</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47005-2019</t>
        </is>
      </c>
      <c r="B1595" s="1" t="n">
        <v>43720</v>
      </c>
      <c r="C1595" s="1" t="n">
        <v>45706</v>
      </c>
      <c r="D1595" t="inlineStr">
        <is>
          <t>DALARNAS LÄN</t>
        </is>
      </c>
      <c r="E1595" t="inlineStr">
        <is>
          <t>FALUN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47012-2019</t>
        </is>
      </c>
      <c r="B1596" s="1" t="n">
        <v>43720</v>
      </c>
      <c r="C1596" s="1" t="n">
        <v>45706</v>
      </c>
      <c r="D1596" t="inlineStr">
        <is>
          <t>DALARNAS LÄN</t>
        </is>
      </c>
      <c r="E1596" t="inlineStr">
        <is>
          <t>LUDVIKA</t>
        </is>
      </c>
      <c r="F1596" t="inlineStr">
        <is>
          <t>Kyrkan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46927-2019</t>
        </is>
      </c>
      <c r="B1597" s="1" t="n">
        <v>43720</v>
      </c>
      <c r="C1597" s="1" t="n">
        <v>45706</v>
      </c>
      <c r="D1597" t="inlineStr">
        <is>
          <t>DALARNAS LÄN</t>
        </is>
      </c>
      <c r="E1597" t="inlineStr">
        <is>
          <t>FALUN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47068-2019</t>
        </is>
      </c>
      <c r="B1598" s="1" t="n">
        <v>43720</v>
      </c>
      <c r="C1598" s="1" t="n">
        <v>45706</v>
      </c>
      <c r="D1598" t="inlineStr">
        <is>
          <t>DALARNAS LÄN</t>
        </is>
      </c>
      <c r="E1598" t="inlineStr">
        <is>
          <t>MALUNG-SÄLEN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47067-2019</t>
        </is>
      </c>
      <c r="B1599" s="1" t="n">
        <v>43720</v>
      </c>
      <c r="C1599" s="1" t="n">
        <v>45706</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46795-2019</t>
        </is>
      </c>
      <c r="B1600" s="1" t="n">
        <v>43720</v>
      </c>
      <c r="C1600" s="1" t="n">
        <v>45706</v>
      </c>
      <c r="D1600" t="inlineStr">
        <is>
          <t>DALARNAS LÄN</t>
        </is>
      </c>
      <c r="E1600" t="inlineStr">
        <is>
          <t>HEDEMORA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47273-2019</t>
        </is>
      </c>
      <c r="B1601" s="1" t="n">
        <v>43721</v>
      </c>
      <c r="C1601" s="1" t="n">
        <v>45706</v>
      </c>
      <c r="D1601" t="inlineStr">
        <is>
          <t>DALARNAS LÄN</t>
        </is>
      </c>
      <c r="E1601" t="inlineStr">
        <is>
          <t>GAGNEF</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47650-2019</t>
        </is>
      </c>
      <c r="B1602" s="1" t="n">
        <v>43724</v>
      </c>
      <c r="C1602" s="1" t="n">
        <v>45706</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47532-2019</t>
        </is>
      </c>
      <c r="B1603" s="1" t="n">
        <v>43724</v>
      </c>
      <c r="C1603" s="1" t="n">
        <v>45706</v>
      </c>
      <c r="D1603" t="inlineStr">
        <is>
          <t>DALARNAS LÄN</t>
        </is>
      </c>
      <c r="E1603" t="inlineStr">
        <is>
          <t>LEKSAND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47713-2019</t>
        </is>
      </c>
      <c r="B1604" s="1" t="n">
        <v>43724</v>
      </c>
      <c r="C1604" s="1" t="n">
        <v>45706</v>
      </c>
      <c r="D1604" t="inlineStr">
        <is>
          <t>DALARNAS LÄN</t>
        </is>
      </c>
      <c r="E1604" t="inlineStr">
        <is>
          <t>MORA</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47704-2019</t>
        </is>
      </c>
      <c r="B1605" s="1" t="n">
        <v>43724</v>
      </c>
      <c r="C1605" s="1" t="n">
        <v>45706</v>
      </c>
      <c r="D1605" t="inlineStr">
        <is>
          <t>DALARNAS LÄN</t>
        </is>
      </c>
      <c r="E1605" t="inlineStr">
        <is>
          <t>VANSBRO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49193-2019</t>
        </is>
      </c>
      <c r="B1606" s="1" t="n">
        <v>43724</v>
      </c>
      <c r="C1606" s="1" t="n">
        <v>45706</v>
      </c>
      <c r="D1606" t="inlineStr">
        <is>
          <t>DALARNAS LÄN</t>
        </is>
      </c>
      <c r="E1606" t="inlineStr">
        <is>
          <t>MORA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47831-2019</t>
        </is>
      </c>
      <c r="B1607" s="1" t="n">
        <v>43725</v>
      </c>
      <c r="C1607" s="1" t="n">
        <v>45706</v>
      </c>
      <c r="D1607" t="inlineStr">
        <is>
          <t>DALARNAS LÄN</t>
        </is>
      </c>
      <c r="E1607" t="inlineStr">
        <is>
          <t>SÄTER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47882-2019</t>
        </is>
      </c>
      <c r="B1608" s="1" t="n">
        <v>43725</v>
      </c>
      <c r="C1608" s="1" t="n">
        <v>45706</v>
      </c>
      <c r="D1608" t="inlineStr">
        <is>
          <t>DALARNAS LÄN</t>
        </is>
      </c>
      <c r="E1608" t="inlineStr">
        <is>
          <t>HEDEMORA</t>
        </is>
      </c>
      <c r="F1608" t="inlineStr">
        <is>
          <t>Sveaskog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48335-2019</t>
        </is>
      </c>
      <c r="B1609" s="1" t="n">
        <v>43726</v>
      </c>
      <c r="C1609" s="1" t="n">
        <v>45706</v>
      </c>
      <c r="D1609" t="inlineStr">
        <is>
          <t>DALARNAS LÄN</t>
        </is>
      </c>
      <c r="E1609" t="inlineStr">
        <is>
          <t>FALUN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48238-2019</t>
        </is>
      </c>
      <c r="B1610" s="1" t="n">
        <v>43726</v>
      </c>
      <c r="C1610" s="1" t="n">
        <v>45706</v>
      </c>
      <c r="D1610" t="inlineStr">
        <is>
          <t>DALARNAS LÄN</t>
        </is>
      </c>
      <c r="E1610" t="inlineStr">
        <is>
          <t>SMEDJEBACKEN</t>
        </is>
      </c>
      <c r="F1610" t="inlineStr">
        <is>
          <t>Bergvik skog väst AB</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48301-2019</t>
        </is>
      </c>
      <c r="B1611" s="1" t="n">
        <v>43726</v>
      </c>
      <c r="C1611" s="1" t="n">
        <v>45706</v>
      </c>
      <c r="D1611" t="inlineStr">
        <is>
          <t>DALARNAS LÄN</t>
        </is>
      </c>
      <c r="E1611" t="inlineStr">
        <is>
          <t>VANSBRO</t>
        </is>
      </c>
      <c r="F1611" t="inlineStr">
        <is>
          <t>Bergvik skog väst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48251-2019</t>
        </is>
      </c>
      <c r="B1612" s="1" t="n">
        <v>43726</v>
      </c>
      <c r="C1612" s="1" t="n">
        <v>45706</v>
      </c>
      <c r="D1612" t="inlineStr">
        <is>
          <t>DALARNAS LÄN</t>
        </is>
      </c>
      <c r="E1612" t="inlineStr">
        <is>
          <t>SMEDJEBACKEN</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48275-2019</t>
        </is>
      </c>
      <c r="B1613" s="1" t="n">
        <v>43726</v>
      </c>
      <c r="C1613" s="1" t="n">
        <v>45706</v>
      </c>
      <c r="D1613" t="inlineStr">
        <is>
          <t>DALARNAS LÄN</t>
        </is>
      </c>
      <c r="E1613" t="inlineStr">
        <is>
          <t>MALUNG-SÄLEN</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48518-2019</t>
        </is>
      </c>
      <c r="B1614" s="1" t="n">
        <v>43726</v>
      </c>
      <c r="C1614" s="1" t="n">
        <v>45706</v>
      </c>
      <c r="D1614" t="inlineStr">
        <is>
          <t>DALARNAS LÄN</t>
        </is>
      </c>
      <c r="E1614" t="inlineStr">
        <is>
          <t>RÄTTVIK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48403-2019</t>
        </is>
      </c>
      <c r="B1615" s="1" t="n">
        <v>43727</v>
      </c>
      <c r="C1615" s="1" t="n">
        <v>45706</v>
      </c>
      <c r="D1615" t="inlineStr">
        <is>
          <t>DALARNAS LÄN</t>
        </is>
      </c>
      <c r="E1615" t="inlineStr">
        <is>
          <t>FALUN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48445-2019</t>
        </is>
      </c>
      <c r="B1616" s="1" t="n">
        <v>43727</v>
      </c>
      <c r="C1616" s="1" t="n">
        <v>45706</v>
      </c>
      <c r="D1616" t="inlineStr">
        <is>
          <t>DALARNAS LÄN</t>
        </is>
      </c>
      <c r="E1616" t="inlineStr">
        <is>
          <t>MORA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48520-2019</t>
        </is>
      </c>
      <c r="B1617" s="1" t="n">
        <v>43727</v>
      </c>
      <c r="C1617" s="1" t="n">
        <v>45706</v>
      </c>
      <c r="D1617" t="inlineStr">
        <is>
          <t>DALARNAS LÄN</t>
        </is>
      </c>
      <c r="E1617" t="inlineStr">
        <is>
          <t>VANSBRO</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48460-2019</t>
        </is>
      </c>
      <c r="B1618" s="1" t="n">
        <v>43727</v>
      </c>
      <c r="C1618" s="1" t="n">
        <v>45706</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48541-2019</t>
        </is>
      </c>
      <c r="B1619" s="1" t="n">
        <v>43727</v>
      </c>
      <c r="C1619" s="1" t="n">
        <v>45706</v>
      </c>
      <c r="D1619" t="inlineStr">
        <is>
          <t>DALARNAS LÄN</t>
        </is>
      </c>
      <c r="E1619" t="inlineStr">
        <is>
          <t>RÄTTVIK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48626-2019</t>
        </is>
      </c>
      <c r="B1620" s="1" t="n">
        <v>43727</v>
      </c>
      <c r="C1620" s="1" t="n">
        <v>45706</v>
      </c>
      <c r="D1620" t="inlineStr">
        <is>
          <t>DALARNAS LÄN</t>
        </is>
      </c>
      <c r="E1620" t="inlineStr">
        <is>
          <t>FALUN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48548-2019</t>
        </is>
      </c>
      <c r="B1621" s="1" t="n">
        <v>43727</v>
      </c>
      <c r="C1621" s="1" t="n">
        <v>45706</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48537-2019</t>
        </is>
      </c>
      <c r="B1622" s="1" t="n">
        <v>43727</v>
      </c>
      <c r="C1622" s="1" t="n">
        <v>45706</v>
      </c>
      <c r="D1622" t="inlineStr">
        <is>
          <t>DALARNAS LÄN</t>
        </is>
      </c>
      <c r="E1622" t="inlineStr">
        <is>
          <t>RÄTTVIK</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49132-2019</t>
        </is>
      </c>
      <c r="B1623" s="1" t="n">
        <v>43728</v>
      </c>
      <c r="C1623" s="1" t="n">
        <v>45706</v>
      </c>
      <c r="D1623" t="inlineStr">
        <is>
          <t>DALARNAS LÄN</t>
        </is>
      </c>
      <c r="E1623" t="inlineStr">
        <is>
          <t>LEKSAND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49014-2019</t>
        </is>
      </c>
      <c r="B1624" s="1" t="n">
        <v>43731</v>
      </c>
      <c r="C1624" s="1" t="n">
        <v>45706</v>
      </c>
      <c r="D1624" t="inlineStr">
        <is>
          <t>DALARNAS LÄN</t>
        </is>
      </c>
      <c r="E1624" t="inlineStr">
        <is>
          <t>ÄLVDALEN</t>
        </is>
      </c>
      <c r="F1624" t="inlineStr">
        <is>
          <t>Sveaskog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49051-2019</t>
        </is>
      </c>
      <c r="B1625" s="1" t="n">
        <v>43731</v>
      </c>
      <c r="C1625" s="1" t="n">
        <v>45706</v>
      </c>
      <c r="D1625" t="inlineStr">
        <is>
          <t>DALARNAS LÄN</t>
        </is>
      </c>
      <c r="E1625" t="inlineStr">
        <is>
          <t>MORA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49122-2019</t>
        </is>
      </c>
      <c r="B1626" s="1" t="n">
        <v>43731</v>
      </c>
      <c r="C1626" s="1" t="n">
        <v>45706</v>
      </c>
      <c r="D1626" t="inlineStr">
        <is>
          <t>DALARNAS LÄN</t>
        </is>
      </c>
      <c r="E1626" t="inlineStr">
        <is>
          <t>SMEDJEBACKEN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49197-2019</t>
        </is>
      </c>
      <c r="B1627" s="1" t="n">
        <v>43731</v>
      </c>
      <c r="C1627" s="1" t="n">
        <v>45706</v>
      </c>
      <c r="D1627" t="inlineStr">
        <is>
          <t>DALARNAS LÄN</t>
        </is>
      </c>
      <c r="E1627" t="inlineStr">
        <is>
          <t>HEDEMORA</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49230-2019</t>
        </is>
      </c>
      <c r="B1628" s="1" t="n">
        <v>43731</v>
      </c>
      <c r="C1628" s="1" t="n">
        <v>45706</v>
      </c>
      <c r="D1628" t="inlineStr">
        <is>
          <t>DALARNAS LÄN</t>
        </is>
      </c>
      <c r="E1628" t="inlineStr">
        <is>
          <t>ÄLVDALEN</t>
        </is>
      </c>
      <c r="F1628" t="inlineStr">
        <is>
          <t>Allmännings- och besparingsskogar</t>
        </is>
      </c>
      <c r="G1628" t="n">
        <v>11.9</v>
      </c>
      <c r="H1628" t="n">
        <v>0</v>
      </c>
      <c r="I1628" t="n">
        <v>0</v>
      </c>
      <c r="J1628" t="n">
        <v>0</v>
      </c>
      <c r="K1628" t="n">
        <v>0</v>
      </c>
      <c r="L1628" t="n">
        <v>0</v>
      </c>
      <c r="M1628" t="n">
        <v>0</v>
      </c>
      <c r="N1628" t="n">
        <v>0</v>
      </c>
      <c r="O1628" t="n">
        <v>0</v>
      </c>
      <c r="P1628" t="n">
        <v>0</v>
      </c>
      <c r="Q1628" t="n">
        <v>0</v>
      </c>
      <c r="R1628" s="2" t="inlineStr"/>
    </row>
    <row r="1629" ht="15" customHeight="1">
      <c r="A1629" t="inlineStr">
        <is>
          <t>A 49290-2019</t>
        </is>
      </c>
      <c r="B1629" s="1" t="n">
        <v>43731</v>
      </c>
      <c r="C1629" s="1" t="n">
        <v>45706</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49303-2019</t>
        </is>
      </c>
      <c r="B1630" s="1" t="n">
        <v>43731</v>
      </c>
      <c r="C1630" s="1" t="n">
        <v>45706</v>
      </c>
      <c r="D1630" t="inlineStr">
        <is>
          <t>DALARNAS LÄN</t>
        </is>
      </c>
      <c r="E1630" t="inlineStr">
        <is>
          <t>SMEDJEBACKEN</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49272-2019</t>
        </is>
      </c>
      <c r="B1631" s="1" t="n">
        <v>43731</v>
      </c>
      <c r="C1631" s="1" t="n">
        <v>45706</v>
      </c>
      <c r="D1631" t="inlineStr">
        <is>
          <t>DALARNAS LÄN</t>
        </is>
      </c>
      <c r="E1631" t="inlineStr">
        <is>
          <t>AVESTA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49300-2019</t>
        </is>
      </c>
      <c r="B1632" s="1" t="n">
        <v>43731</v>
      </c>
      <c r="C1632" s="1" t="n">
        <v>45706</v>
      </c>
      <c r="D1632" t="inlineStr">
        <is>
          <t>DALARNAS LÄN</t>
        </is>
      </c>
      <c r="E1632" t="inlineStr">
        <is>
          <t>HEDEMORA</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49345-2019</t>
        </is>
      </c>
      <c r="B1633" s="1" t="n">
        <v>43731</v>
      </c>
      <c r="C1633" s="1" t="n">
        <v>45706</v>
      </c>
      <c r="D1633" t="inlineStr">
        <is>
          <t>DALARNAS LÄN</t>
        </is>
      </c>
      <c r="E1633" t="inlineStr">
        <is>
          <t>SÄTER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49324-2019</t>
        </is>
      </c>
      <c r="B1634" s="1" t="n">
        <v>43731</v>
      </c>
      <c r="C1634" s="1" t="n">
        <v>45706</v>
      </c>
      <c r="D1634" t="inlineStr">
        <is>
          <t>DALARNAS LÄN</t>
        </is>
      </c>
      <c r="E1634" t="inlineStr">
        <is>
          <t>HEDEMORA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49329-2019</t>
        </is>
      </c>
      <c r="B1635" s="1" t="n">
        <v>43731</v>
      </c>
      <c r="C1635" s="1" t="n">
        <v>45706</v>
      </c>
      <c r="D1635" t="inlineStr">
        <is>
          <t>DALARNAS LÄN</t>
        </is>
      </c>
      <c r="E1635" t="inlineStr">
        <is>
          <t>LUDVIKA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49412-2019</t>
        </is>
      </c>
      <c r="B1636" s="1" t="n">
        <v>43732</v>
      </c>
      <c r="C1636" s="1" t="n">
        <v>45706</v>
      </c>
      <c r="D1636" t="inlineStr">
        <is>
          <t>DALARNAS LÄN</t>
        </is>
      </c>
      <c r="E1636" t="inlineStr">
        <is>
          <t>VANSBRO</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49620-2019</t>
        </is>
      </c>
      <c r="B1637" s="1" t="n">
        <v>43732</v>
      </c>
      <c r="C1637" s="1" t="n">
        <v>45706</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51146-2019</t>
        </is>
      </c>
      <c r="B1638" s="1" t="n">
        <v>43732</v>
      </c>
      <c r="C1638" s="1" t="n">
        <v>45706</v>
      </c>
      <c r="D1638" t="inlineStr">
        <is>
          <t>DALARNAS LÄN</t>
        </is>
      </c>
      <c r="E1638" t="inlineStr">
        <is>
          <t>SMEDJEBACKEN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51369-2019</t>
        </is>
      </c>
      <c r="B1639" s="1" t="n">
        <v>43732</v>
      </c>
      <c r="C1639" s="1" t="n">
        <v>45706</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49699-2019</t>
        </is>
      </c>
      <c r="B1640" s="1" t="n">
        <v>43733</v>
      </c>
      <c r="C1640" s="1" t="n">
        <v>45706</v>
      </c>
      <c r="D1640" t="inlineStr">
        <is>
          <t>DALARNAS LÄN</t>
        </is>
      </c>
      <c r="E1640" t="inlineStr">
        <is>
          <t>LUDVIKA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49736-2019</t>
        </is>
      </c>
      <c r="B1641" s="1" t="n">
        <v>43733</v>
      </c>
      <c r="C1641" s="1" t="n">
        <v>45706</v>
      </c>
      <c r="D1641" t="inlineStr">
        <is>
          <t>DALARNAS LÄN</t>
        </is>
      </c>
      <c r="E1641" t="inlineStr">
        <is>
          <t>MALUNG-SÄLEN</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51390-2019</t>
        </is>
      </c>
      <c r="B1642" s="1" t="n">
        <v>43733</v>
      </c>
      <c r="C1642" s="1" t="n">
        <v>45706</v>
      </c>
      <c r="D1642" t="inlineStr">
        <is>
          <t>DALARNAS LÄN</t>
        </is>
      </c>
      <c r="E1642" t="inlineStr">
        <is>
          <t>LEKSAND</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49953-2019</t>
        </is>
      </c>
      <c r="B1643" s="1" t="n">
        <v>43733</v>
      </c>
      <c r="C1643" s="1" t="n">
        <v>45706</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49765-2019</t>
        </is>
      </c>
      <c r="B1644" s="1" t="n">
        <v>43733</v>
      </c>
      <c r="C1644" s="1" t="n">
        <v>45706</v>
      </c>
      <c r="D1644" t="inlineStr">
        <is>
          <t>DALARNAS LÄN</t>
        </is>
      </c>
      <c r="E1644" t="inlineStr">
        <is>
          <t>MORA</t>
        </is>
      </c>
      <c r="F1644" t="inlineStr">
        <is>
          <t>Bergvik skog väst AB</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49817-2019</t>
        </is>
      </c>
      <c r="B1645" s="1" t="n">
        <v>43733</v>
      </c>
      <c r="C1645" s="1" t="n">
        <v>45706</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50160-2019</t>
        </is>
      </c>
      <c r="B1646" s="1" t="n">
        <v>43734</v>
      </c>
      <c r="C1646" s="1" t="n">
        <v>45706</v>
      </c>
      <c r="D1646" t="inlineStr">
        <is>
          <t>DALARNAS LÄN</t>
        </is>
      </c>
      <c r="E1646" t="inlineStr">
        <is>
          <t>MALUNG-SÄLEN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50213-2019</t>
        </is>
      </c>
      <c r="B1647" s="1" t="n">
        <v>43734</v>
      </c>
      <c r="C1647" s="1" t="n">
        <v>45706</v>
      </c>
      <c r="D1647" t="inlineStr">
        <is>
          <t>DALARNAS LÄN</t>
        </is>
      </c>
      <c r="E1647" t="inlineStr">
        <is>
          <t>RÄTTVIK</t>
        </is>
      </c>
      <c r="F1647" t="inlineStr">
        <is>
          <t>Kyrkan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50024-2019</t>
        </is>
      </c>
      <c r="B1648" s="1" t="n">
        <v>43734</v>
      </c>
      <c r="C1648" s="1" t="n">
        <v>45706</v>
      </c>
      <c r="D1648" t="inlineStr">
        <is>
          <t>DALARNAS LÄN</t>
        </is>
      </c>
      <c r="E1648" t="inlineStr">
        <is>
          <t>LUDVIKA</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50183-2019</t>
        </is>
      </c>
      <c r="B1649" s="1" t="n">
        <v>43734</v>
      </c>
      <c r="C1649" s="1" t="n">
        <v>45706</v>
      </c>
      <c r="D1649" t="inlineStr">
        <is>
          <t>DALARNAS LÄN</t>
        </is>
      </c>
      <c r="E1649" t="inlineStr">
        <is>
          <t>HEDEMORA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51773-2019</t>
        </is>
      </c>
      <c r="B1650" s="1" t="n">
        <v>43734</v>
      </c>
      <c r="C1650" s="1" t="n">
        <v>45706</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50362-2019</t>
        </is>
      </c>
      <c r="B1651" s="1" t="n">
        <v>43734</v>
      </c>
      <c r="C1651" s="1" t="n">
        <v>45706</v>
      </c>
      <c r="D1651" t="inlineStr">
        <is>
          <t>DALARNAS LÄN</t>
        </is>
      </c>
      <c r="E1651" t="inlineStr">
        <is>
          <t>RÄTTVIK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50408-2019</t>
        </is>
      </c>
      <c r="B1652" s="1" t="n">
        <v>43735</v>
      </c>
      <c r="C1652" s="1" t="n">
        <v>45706</v>
      </c>
      <c r="D1652" t="inlineStr">
        <is>
          <t>DALARNAS LÄN</t>
        </is>
      </c>
      <c r="E1652" t="inlineStr">
        <is>
          <t>MALUNG-SÄLEN</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50418-2019</t>
        </is>
      </c>
      <c r="B1653" s="1" t="n">
        <v>43735</v>
      </c>
      <c r="C1653" s="1" t="n">
        <v>45706</v>
      </c>
      <c r="D1653" t="inlineStr">
        <is>
          <t>DALARNAS LÄN</t>
        </is>
      </c>
      <c r="E1653" t="inlineStr">
        <is>
          <t>MALUNG-SÄLEN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50460-2019</t>
        </is>
      </c>
      <c r="B1654" s="1" t="n">
        <v>43735</v>
      </c>
      <c r="C1654" s="1" t="n">
        <v>45706</v>
      </c>
      <c r="D1654" t="inlineStr">
        <is>
          <t>DALARNAS LÄN</t>
        </is>
      </c>
      <c r="E1654" t="inlineStr">
        <is>
          <t>RÄTTVIK</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50424-2019</t>
        </is>
      </c>
      <c r="B1655" s="1" t="n">
        <v>43735</v>
      </c>
      <c r="C1655" s="1" t="n">
        <v>45706</v>
      </c>
      <c r="D1655" t="inlineStr">
        <is>
          <t>DALARNAS LÄN</t>
        </is>
      </c>
      <c r="E1655" t="inlineStr">
        <is>
          <t>MALUNG-SÄLEN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50471-2019</t>
        </is>
      </c>
      <c r="B1656" s="1" t="n">
        <v>43735</v>
      </c>
      <c r="C1656" s="1" t="n">
        <v>45706</v>
      </c>
      <c r="D1656" t="inlineStr">
        <is>
          <t>DALARNAS LÄN</t>
        </is>
      </c>
      <c r="E1656" t="inlineStr">
        <is>
          <t>RÄTTVIK</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50528-2019</t>
        </is>
      </c>
      <c r="B1657" s="1" t="n">
        <v>43735</v>
      </c>
      <c r="C1657" s="1" t="n">
        <v>45706</v>
      </c>
      <c r="D1657" t="inlineStr">
        <is>
          <t>DALARNAS LÄN</t>
        </is>
      </c>
      <c r="E1657" t="inlineStr">
        <is>
          <t>ORSA</t>
        </is>
      </c>
      <c r="F1657" t="inlineStr">
        <is>
          <t>Kyrkan</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50431-2019</t>
        </is>
      </c>
      <c r="B1658" s="1" t="n">
        <v>43735</v>
      </c>
      <c r="C1658" s="1" t="n">
        <v>45706</v>
      </c>
      <c r="D1658" t="inlineStr">
        <is>
          <t>DALARNAS LÄN</t>
        </is>
      </c>
      <c r="E1658" t="inlineStr">
        <is>
          <t>ÄLVDALEN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50486-2019</t>
        </is>
      </c>
      <c r="B1659" s="1" t="n">
        <v>43735</v>
      </c>
      <c r="C1659" s="1" t="n">
        <v>45706</v>
      </c>
      <c r="D1659" t="inlineStr">
        <is>
          <t>DALARNAS LÄN</t>
        </is>
      </c>
      <c r="E1659" t="inlineStr">
        <is>
          <t>MALUNG-SÄLEN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50532-2019</t>
        </is>
      </c>
      <c r="B1660" s="1" t="n">
        <v>43735</v>
      </c>
      <c r="C1660" s="1" t="n">
        <v>45706</v>
      </c>
      <c r="D1660" t="inlineStr">
        <is>
          <t>DALARNAS LÄN</t>
        </is>
      </c>
      <c r="E1660" t="inlineStr">
        <is>
          <t>LEKSAND</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50479-2019</t>
        </is>
      </c>
      <c r="B1661" s="1" t="n">
        <v>43735</v>
      </c>
      <c r="C1661" s="1" t="n">
        <v>45706</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52431-2019</t>
        </is>
      </c>
      <c r="B1662" s="1" t="n">
        <v>43735</v>
      </c>
      <c r="C1662" s="1" t="n">
        <v>45706</v>
      </c>
      <c r="D1662" t="inlineStr">
        <is>
          <t>DALARNAS LÄN</t>
        </is>
      </c>
      <c r="E1662" t="inlineStr">
        <is>
          <t>SÄTER</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52130-2019</t>
        </is>
      </c>
      <c r="B1663" s="1" t="n">
        <v>43735</v>
      </c>
      <c r="C1663" s="1" t="n">
        <v>45706</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52398-2019</t>
        </is>
      </c>
      <c r="B1664" s="1" t="n">
        <v>43735</v>
      </c>
      <c r="C1664" s="1" t="n">
        <v>45706</v>
      </c>
      <c r="D1664" t="inlineStr">
        <is>
          <t>DALARNAS LÄN</t>
        </is>
      </c>
      <c r="E1664" t="inlineStr">
        <is>
          <t>SÄTER</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50437-2019</t>
        </is>
      </c>
      <c r="B1665" s="1" t="n">
        <v>43735</v>
      </c>
      <c r="C1665" s="1" t="n">
        <v>45706</v>
      </c>
      <c r="D1665" t="inlineStr">
        <is>
          <t>DALARNAS LÄN</t>
        </is>
      </c>
      <c r="E1665" t="inlineStr">
        <is>
          <t>MALUNG-SÄLEN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52423-2019</t>
        </is>
      </c>
      <c r="B1666" s="1" t="n">
        <v>43735</v>
      </c>
      <c r="C1666" s="1" t="n">
        <v>45706</v>
      </c>
      <c r="D1666" t="inlineStr">
        <is>
          <t>DALARNAS LÄN</t>
        </is>
      </c>
      <c r="E1666" t="inlineStr">
        <is>
          <t>SÄTER</t>
        </is>
      </c>
      <c r="F1666" t="inlineStr">
        <is>
          <t>Bergvik skog väst AB</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50669-2019</t>
        </is>
      </c>
      <c r="B1667" s="1" t="n">
        <v>43737</v>
      </c>
      <c r="C1667" s="1" t="n">
        <v>45706</v>
      </c>
      <c r="D1667" t="inlineStr">
        <is>
          <t>DALARNAS LÄN</t>
        </is>
      </c>
      <c r="E1667" t="inlineStr">
        <is>
          <t>ÄLVDALEN</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50670-2019</t>
        </is>
      </c>
      <c r="B1668" s="1" t="n">
        <v>43738</v>
      </c>
      <c r="C1668" s="1" t="n">
        <v>45706</v>
      </c>
      <c r="D1668" t="inlineStr">
        <is>
          <t>DALARNAS LÄN</t>
        </is>
      </c>
      <c r="E1668" t="inlineStr">
        <is>
          <t>ÄLVDALEN</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50934-2019</t>
        </is>
      </c>
      <c r="B1669" s="1" t="n">
        <v>43738</v>
      </c>
      <c r="C1669" s="1" t="n">
        <v>45706</v>
      </c>
      <c r="D1669" t="inlineStr">
        <is>
          <t>DALARNAS LÄN</t>
        </is>
      </c>
      <c r="E1669" t="inlineStr">
        <is>
          <t>ORSA</t>
        </is>
      </c>
      <c r="F1669" t="inlineStr">
        <is>
          <t>Allmännings- och besparingsskogar</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52706-2019</t>
        </is>
      </c>
      <c r="B1670" s="1" t="n">
        <v>43739</v>
      </c>
      <c r="C1670" s="1" t="n">
        <v>45706</v>
      </c>
      <c r="D1670" t="inlineStr">
        <is>
          <t>DALARNAS LÄN</t>
        </is>
      </c>
      <c r="E1670" t="inlineStr">
        <is>
          <t>MALUNG-SÄLEN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52719-2019</t>
        </is>
      </c>
      <c r="B1671" s="1" t="n">
        <v>43739</v>
      </c>
      <c r="C1671" s="1" t="n">
        <v>45706</v>
      </c>
      <c r="D1671" t="inlineStr">
        <is>
          <t>DALARNAS LÄN</t>
        </is>
      </c>
      <c r="E1671" t="inlineStr">
        <is>
          <t>MALUNG-SÄLEN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52834-2019</t>
        </is>
      </c>
      <c r="B1672" s="1" t="n">
        <v>43739</v>
      </c>
      <c r="C1672" s="1" t="n">
        <v>45706</v>
      </c>
      <c r="D1672" t="inlineStr">
        <is>
          <t>DALARNAS LÄN</t>
        </is>
      </c>
      <c r="E1672" t="inlineStr">
        <is>
          <t>SMEDJEBACKEN</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51019-2019</t>
        </is>
      </c>
      <c r="B1673" s="1" t="n">
        <v>43739</v>
      </c>
      <c r="C1673" s="1" t="n">
        <v>45706</v>
      </c>
      <c r="D1673" t="inlineStr">
        <is>
          <t>DALARNAS LÄN</t>
        </is>
      </c>
      <c r="E1673" t="inlineStr">
        <is>
          <t>BORLÄNGE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51526-2019</t>
        </is>
      </c>
      <c r="B1674" s="1" t="n">
        <v>43740</v>
      </c>
      <c r="C1674" s="1" t="n">
        <v>45706</v>
      </c>
      <c r="D1674" t="inlineStr">
        <is>
          <t>DALARNAS LÄN</t>
        </is>
      </c>
      <c r="E1674" t="inlineStr">
        <is>
          <t>RÄTTVIK</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51354-2019</t>
        </is>
      </c>
      <c r="B1675" s="1" t="n">
        <v>43740</v>
      </c>
      <c r="C1675" s="1" t="n">
        <v>45706</v>
      </c>
      <c r="D1675" t="inlineStr">
        <is>
          <t>DALARNAS LÄN</t>
        </is>
      </c>
      <c r="E1675" t="inlineStr">
        <is>
          <t>ÄLVDALEN</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51536-2019</t>
        </is>
      </c>
      <c r="B1676" s="1" t="n">
        <v>43740</v>
      </c>
      <c r="C1676" s="1" t="n">
        <v>45706</v>
      </c>
      <c r="D1676" t="inlineStr">
        <is>
          <t>DALARNAS LÄN</t>
        </is>
      </c>
      <c r="E1676" t="inlineStr">
        <is>
          <t>RÄTTVIK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52865-2019</t>
        </is>
      </c>
      <c r="B1677" s="1" t="n">
        <v>43740</v>
      </c>
      <c r="C1677" s="1" t="n">
        <v>45706</v>
      </c>
      <c r="D1677" t="inlineStr">
        <is>
          <t>DALARNAS LÄN</t>
        </is>
      </c>
      <c r="E1677" t="inlineStr">
        <is>
          <t>RÄTTVIK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51589-2019</t>
        </is>
      </c>
      <c r="B1678" s="1" t="n">
        <v>43740</v>
      </c>
      <c r="C1678" s="1" t="n">
        <v>45706</v>
      </c>
      <c r="D1678" t="inlineStr">
        <is>
          <t>DALARNAS LÄN</t>
        </is>
      </c>
      <c r="E1678" t="inlineStr">
        <is>
          <t>SÄTER</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53060-2019</t>
        </is>
      </c>
      <c r="B1679" s="1" t="n">
        <v>43740</v>
      </c>
      <c r="C1679" s="1" t="n">
        <v>45706</v>
      </c>
      <c r="D1679" t="inlineStr">
        <is>
          <t>DALARNAS LÄN</t>
        </is>
      </c>
      <c r="E1679" t="inlineStr">
        <is>
          <t>RÄTTVIK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51798-2019</t>
        </is>
      </c>
      <c r="B1680" s="1" t="n">
        <v>43741</v>
      </c>
      <c r="C1680" s="1" t="n">
        <v>45706</v>
      </c>
      <c r="D1680" t="inlineStr">
        <is>
          <t>DALARNAS LÄN</t>
        </is>
      </c>
      <c r="E1680" t="inlineStr">
        <is>
          <t>ÄLVDALEN</t>
        </is>
      </c>
      <c r="F1680" t="inlineStr">
        <is>
          <t>Sveaskog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51740-2019</t>
        </is>
      </c>
      <c r="B1681" s="1" t="n">
        <v>43741</v>
      </c>
      <c r="C1681" s="1" t="n">
        <v>45706</v>
      </c>
      <c r="D1681" t="inlineStr">
        <is>
          <t>DALARNAS LÄN</t>
        </is>
      </c>
      <c r="E1681" t="inlineStr">
        <is>
          <t>SÄTER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51877-2019</t>
        </is>
      </c>
      <c r="B1682" s="1" t="n">
        <v>43741</v>
      </c>
      <c r="C1682" s="1" t="n">
        <v>45706</v>
      </c>
      <c r="D1682" t="inlineStr">
        <is>
          <t>DALARNAS LÄN</t>
        </is>
      </c>
      <c r="E1682" t="inlineStr">
        <is>
          <t>HEDEMORA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51872-2019</t>
        </is>
      </c>
      <c r="B1683" s="1" t="n">
        <v>43741</v>
      </c>
      <c r="C1683" s="1" t="n">
        <v>45706</v>
      </c>
      <c r="D1683" t="inlineStr">
        <is>
          <t>DALARNAS LÄN</t>
        </is>
      </c>
      <c r="E1683" t="inlineStr">
        <is>
          <t>GAGNEF</t>
        </is>
      </c>
      <c r="F1683" t="inlineStr">
        <is>
          <t>Bergvik skog väst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51727-2019</t>
        </is>
      </c>
      <c r="B1684" s="1" t="n">
        <v>43741</v>
      </c>
      <c r="C1684" s="1" t="n">
        <v>45706</v>
      </c>
      <c r="D1684" t="inlineStr">
        <is>
          <t>DALARNAS LÄN</t>
        </is>
      </c>
      <c r="E1684" t="inlineStr">
        <is>
          <t>VANSBRO</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52192-2019</t>
        </is>
      </c>
      <c r="B1685" s="1" t="n">
        <v>43742</v>
      </c>
      <c r="C1685" s="1" t="n">
        <v>45706</v>
      </c>
      <c r="D1685" t="inlineStr">
        <is>
          <t>DALARNAS LÄN</t>
        </is>
      </c>
      <c r="E1685" t="inlineStr">
        <is>
          <t>FALUN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52107-2019</t>
        </is>
      </c>
      <c r="B1686" s="1" t="n">
        <v>43742</v>
      </c>
      <c r="C1686" s="1" t="n">
        <v>45706</v>
      </c>
      <c r="D1686" t="inlineStr">
        <is>
          <t>DALARNAS LÄN</t>
        </is>
      </c>
      <c r="E1686" t="inlineStr">
        <is>
          <t>FALUN</t>
        </is>
      </c>
      <c r="F1686" t="inlineStr">
        <is>
          <t>Bergvik skog väst AB</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52221-2019</t>
        </is>
      </c>
      <c r="B1687" s="1" t="n">
        <v>43742</v>
      </c>
      <c r="C1687" s="1" t="n">
        <v>45706</v>
      </c>
      <c r="D1687" t="inlineStr">
        <is>
          <t>DALARNAS LÄN</t>
        </is>
      </c>
      <c r="E1687" t="inlineStr">
        <is>
          <t>RÄTTVIK</t>
        </is>
      </c>
      <c r="F1687" t="inlineStr">
        <is>
          <t>Bergvik skog väst AB</t>
        </is>
      </c>
      <c r="G1687" t="n">
        <v>21.2</v>
      </c>
      <c r="H1687" t="n">
        <v>0</v>
      </c>
      <c r="I1687" t="n">
        <v>0</v>
      </c>
      <c r="J1687" t="n">
        <v>0</v>
      </c>
      <c r="K1687" t="n">
        <v>0</v>
      </c>
      <c r="L1687" t="n">
        <v>0</v>
      </c>
      <c r="M1687" t="n">
        <v>0</v>
      </c>
      <c r="N1687" t="n">
        <v>0</v>
      </c>
      <c r="O1687" t="n">
        <v>0</v>
      </c>
      <c r="P1687" t="n">
        <v>0</v>
      </c>
      <c r="Q1687" t="n">
        <v>0</v>
      </c>
      <c r="R1687" s="2" t="inlineStr"/>
    </row>
    <row r="1688" ht="15" customHeight="1">
      <c r="A1688" t="inlineStr">
        <is>
          <t>A 53998-2019</t>
        </is>
      </c>
      <c r="B1688" s="1" t="n">
        <v>43742</v>
      </c>
      <c r="C1688" s="1" t="n">
        <v>45706</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52163-2019</t>
        </is>
      </c>
      <c r="B1689" s="1" t="n">
        <v>43742</v>
      </c>
      <c r="C1689" s="1" t="n">
        <v>45706</v>
      </c>
      <c r="D1689" t="inlineStr">
        <is>
          <t>DALARNAS LÄN</t>
        </is>
      </c>
      <c r="E1689" t="inlineStr">
        <is>
          <t>GAGNEF</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52131-2019</t>
        </is>
      </c>
      <c r="B1690" s="1" t="n">
        <v>43742</v>
      </c>
      <c r="C1690" s="1" t="n">
        <v>45706</v>
      </c>
      <c r="D1690" t="inlineStr">
        <is>
          <t>DALARNAS LÄN</t>
        </is>
      </c>
      <c r="E1690" t="inlineStr">
        <is>
          <t>ÄLVDALEN</t>
        </is>
      </c>
      <c r="F1690" t="inlineStr">
        <is>
          <t>Sveaskog</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51962-2019</t>
        </is>
      </c>
      <c r="B1691" s="1" t="n">
        <v>43742</v>
      </c>
      <c r="C1691" s="1" t="n">
        <v>45706</v>
      </c>
      <c r="D1691" t="inlineStr">
        <is>
          <t>DALARNAS LÄN</t>
        </is>
      </c>
      <c r="E1691" t="inlineStr">
        <is>
          <t>FALUN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52296-2019</t>
        </is>
      </c>
      <c r="B1692" s="1" t="n">
        <v>43745</v>
      </c>
      <c r="C1692" s="1" t="n">
        <v>45706</v>
      </c>
      <c r="D1692" t="inlineStr">
        <is>
          <t>DALARNAS LÄN</t>
        </is>
      </c>
      <c r="E1692" t="inlineStr">
        <is>
          <t>VANSBRO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52495-2019</t>
        </is>
      </c>
      <c r="B1693" s="1" t="n">
        <v>43745</v>
      </c>
      <c r="C1693" s="1" t="n">
        <v>45706</v>
      </c>
      <c r="D1693" t="inlineStr">
        <is>
          <t>DALARNAS LÄN</t>
        </is>
      </c>
      <c r="E1693" t="inlineStr">
        <is>
          <t>GAGNEF</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52298-2019</t>
        </is>
      </c>
      <c r="B1694" s="1" t="n">
        <v>43745</v>
      </c>
      <c r="C1694" s="1" t="n">
        <v>45706</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52444-2019</t>
        </is>
      </c>
      <c r="B1695" s="1" t="n">
        <v>43745</v>
      </c>
      <c r="C1695" s="1" t="n">
        <v>45706</v>
      </c>
      <c r="D1695" t="inlineStr">
        <is>
          <t>DALARNAS LÄN</t>
        </is>
      </c>
      <c r="E1695" t="inlineStr">
        <is>
          <t>SÄTER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52466-2019</t>
        </is>
      </c>
      <c r="B1696" s="1" t="n">
        <v>43745</v>
      </c>
      <c r="C1696" s="1" t="n">
        <v>45706</v>
      </c>
      <c r="D1696" t="inlineStr">
        <is>
          <t>DALARNAS LÄN</t>
        </is>
      </c>
      <c r="E1696" t="inlineStr">
        <is>
          <t>ÄLVDALEN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54239-2019</t>
        </is>
      </c>
      <c r="B1697" s="1" t="n">
        <v>43745</v>
      </c>
      <c r="C1697" s="1" t="n">
        <v>45706</v>
      </c>
      <c r="D1697" t="inlineStr">
        <is>
          <t>DALARNAS LÄN</t>
        </is>
      </c>
      <c r="E1697" t="inlineStr">
        <is>
          <t>SMEDJEBACKEN</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54273-2019</t>
        </is>
      </c>
      <c r="B1698" s="1" t="n">
        <v>43745</v>
      </c>
      <c r="C1698" s="1" t="n">
        <v>45706</v>
      </c>
      <c r="D1698" t="inlineStr">
        <is>
          <t>DALARNAS LÄN</t>
        </is>
      </c>
      <c r="E1698" t="inlineStr">
        <is>
          <t>SMEDJEBACKEN</t>
        </is>
      </c>
      <c r="F1698" t="inlineStr">
        <is>
          <t>Bergvik skog väst AB</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54250-2019</t>
        </is>
      </c>
      <c r="B1699" s="1" t="n">
        <v>43745</v>
      </c>
      <c r="C1699" s="1" t="n">
        <v>45706</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52776-2019</t>
        </is>
      </c>
      <c r="B1700" s="1" t="n">
        <v>43746</v>
      </c>
      <c r="C1700" s="1" t="n">
        <v>45706</v>
      </c>
      <c r="D1700" t="inlineStr">
        <is>
          <t>DALARNAS LÄN</t>
        </is>
      </c>
      <c r="E1700" t="inlineStr">
        <is>
          <t>VANSBRO</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52746-2019</t>
        </is>
      </c>
      <c r="B1701" s="1" t="n">
        <v>43746</v>
      </c>
      <c r="C1701" s="1" t="n">
        <v>45706</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52827-2019</t>
        </is>
      </c>
      <c r="B1702" s="1" t="n">
        <v>43746</v>
      </c>
      <c r="C1702" s="1" t="n">
        <v>45706</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53100-2019</t>
        </is>
      </c>
      <c r="B1703" s="1" t="n">
        <v>43747</v>
      </c>
      <c r="C1703" s="1" t="n">
        <v>45706</v>
      </c>
      <c r="D1703" t="inlineStr">
        <is>
          <t>DALARNAS LÄN</t>
        </is>
      </c>
      <c r="E1703" t="inlineStr">
        <is>
          <t>MALUNG-SÄLEN</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52957-2019</t>
        </is>
      </c>
      <c r="B1704" s="1" t="n">
        <v>43747</v>
      </c>
      <c r="C1704" s="1" t="n">
        <v>45706</v>
      </c>
      <c r="D1704" t="inlineStr">
        <is>
          <t>DALARNAS LÄN</t>
        </is>
      </c>
      <c r="E1704" t="inlineStr">
        <is>
          <t>LEKSAND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53099-2019</t>
        </is>
      </c>
      <c r="B1705" s="1" t="n">
        <v>43747</v>
      </c>
      <c r="C1705" s="1" t="n">
        <v>45706</v>
      </c>
      <c r="D1705" t="inlineStr">
        <is>
          <t>DALARNAS LÄN</t>
        </is>
      </c>
      <c r="E1705" t="inlineStr">
        <is>
          <t>RÄTTVIK</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53038-2019</t>
        </is>
      </c>
      <c r="B1706" s="1" t="n">
        <v>43747</v>
      </c>
      <c r="C1706" s="1" t="n">
        <v>45706</v>
      </c>
      <c r="D1706" t="inlineStr">
        <is>
          <t>DALARNAS LÄN</t>
        </is>
      </c>
      <c r="E1706" t="inlineStr">
        <is>
          <t>LUDVIKA</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52958-2019</t>
        </is>
      </c>
      <c r="B1707" s="1" t="n">
        <v>43747</v>
      </c>
      <c r="C1707" s="1" t="n">
        <v>45706</v>
      </c>
      <c r="D1707" t="inlineStr">
        <is>
          <t>DALARNAS LÄN</t>
        </is>
      </c>
      <c r="E1707" t="inlineStr">
        <is>
          <t>MORA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53323-2019</t>
        </is>
      </c>
      <c r="B1708" s="1" t="n">
        <v>43748</v>
      </c>
      <c r="C1708" s="1" t="n">
        <v>45706</v>
      </c>
      <c r="D1708" t="inlineStr">
        <is>
          <t>DALARNAS LÄN</t>
        </is>
      </c>
      <c r="E1708" t="inlineStr">
        <is>
          <t>HEDEMORA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53336-2019</t>
        </is>
      </c>
      <c r="B1709" s="1" t="n">
        <v>43748</v>
      </c>
      <c r="C1709" s="1" t="n">
        <v>45706</v>
      </c>
      <c r="D1709" t="inlineStr">
        <is>
          <t>DALARNAS LÄN</t>
        </is>
      </c>
      <c r="E1709" t="inlineStr">
        <is>
          <t>MORA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53247-2019</t>
        </is>
      </c>
      <c r="B1710" s="1" t="n">
        <v>43748</v>
      </c>
      <c r="C1710" s="1" t="n">
        <v>45706</v>
      </c>
      <c r="D1710" t="inlineStr">
        <is>
          <t>DALARNAS LÄN</t>
        </is>
      </c>
      <c r="E1710" t="inlineStr">
        <is>
          <t>VANSBRO</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53404-2019</t>
        </is>
      </c>
      <c r="B1711" s="1" t="n">
        <v>43748</v>
      </c>
      <c r="C1711" s="1" t="n">
        <v>45706</v>
      </c>
      <c r="D1711" t="inlineStr">
        <is>
          <t>DALARNAS LÄN</t>
        </is>
      </c>
      <c r="E1711" t="inlineStr">
        <is>
          <t>SÄTER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53459-2019</t>
        </is>
      </c>
      <c r="B1712" s="1" t="n">
        <v>43748</v>
      </c>
      <c r="C1712" s="1" t="n">
        <v>45706</v>
      </c>
      <c r="D1712" t="inlineStr">
        <is>
          <t>DALARNAS LÄN</t>
        </is>
      </c>
      <c r="E1712" t="inlineStr">
        <is>
          <t>AVESTA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53657-2019</t>
        </is>
      </c>
      <c r="B1713" s="1" t="n">
        <v>43749</v>
      </c>
      <c r="C1713" s="1" t="n">
        <v>45706</v>
      </c>
      <c r="D1713" t="inlineStr">
        <is>
          <t>DALARNAS LÄN</t>
        </is>
      </c>
      <c r="E1713" t="inlineStr">
        <is>
          <t>FALUN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53740-2019</t>
        </is>
      </c>
      <c r="B1714" s="1" t="n">
        <v>43749</v>
      </c>
      <c r="C1714" s="1" t="n">
        <v>45706</v>
      </c>
      <c r="D1714" t="inlineStr">
        <is>
          <t>DALARNAS LÄN</t>
        </is>
      </c>
      <c r="E1714" t="inlineStr">
        <is>
          <t>MALUNG-SÄLEN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53553-2019</t>
        </is>
      </c>
      <c r="B1715" s="1" t="n">
        <v>43749</v>
      </c>
      <c r="C1715" s="1" t="n">
        <v>45706</v>
      </c>
      <c r="D1715" t="inlineStr">
        <is>
          <t>DALARNAS LÄN</t>
        </is>
      </c>
      <c r="E1715" t="inlineStr">
        <is>
          <t>LEKSAND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53802-2019</t>
        </is>
      </c>
      <c r="B1716" s="1" t="n">
        <v>43751</v>
      </c>
      <c r="C1716" s="1" t="n">
        <v>45706</v>
      </c>
      <c r="D1716" t="inlineStr">
        <is>
          <t>DALARNAS LÄN</t>
        </is>
      </c>
      <c r="E1716" t="inlineStr">
        <is>
          <t>VANSBRO</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53977-2019</t>
        </is>
      </c>
      <c r="B1717" s="1" t="n">
        <v>43752</v>
      </c>
      <c r="C1717" s="1" t="n">
        <v>45706</v>
      </c>
      <c r="D1717" t="inlineStr">
        <is>
          <t>DALARNAS LÄN</t>
        </is>
      </c>
      <c r="E1717" t="inlineStr">
        <is>
          <t>AVESTA</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54054-2019</t>
        </is>
      </c>
      <c r="B1718" s="1" t="n">
        <v>43752</v>
      </c>
      <c r="C1718" s="1" t="n">
        <v>45706</v>
      </c>
      <c r="D1718" t="inlineStr">
        <is>
          <t>DALARNAS LÄN</t>
        </is>
      </c>
      <c r="E1718" t="inlineStr">
        <is>
          <t>FALUN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54296-2019</t>
        </is>
      </c>
      <c r="B1719" s="1" t="n">
        <v>43753</v>
      </c>
      <c r="C1719" s="1" t="n">
        <v>45706</v>
      </c>
      <c r="D1719" t="inlineStr">
        <is>
          <t>DALARNAS LÄN</t>
        </is>
      </c>
      <c r="E1719" t="inlineStr">
        <is>
          <t>SÄTER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54358-2019</t>
        </is>
      </c>
      <c r="B1720" s="1" t="n">
        <v>43754</v>
      </c>
      <c r="C1720" s="1" t="n">
        <v>45706</v>
      </c>
      <c r="D1720" t="inlineStr">
        <is>
          <t>DALARNAS LÄN</t>
        </is>
      </c>
      <c r="E1720" t="inlineStr">
        <is>
          <t>HEDEMORA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54304-2019</t>
        </is>
      </c>
      <c r="B1721" s="1" t="n">
        <v>43753</v>
      </c>
      <c r="C1721" s="1" t="n">
        <v>45706</v>
      </c>
      <c r="D1721" t="inlineStr">
        <is>
          <t>DALARNAS LÄN</t>
        </is>
      </c>
      <c r="E1721" t="inlineStr">
        <is>
          <t>SÄTER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54605-2019</t>
        </is>
      </c>
      <c r="B1722" s="1" t="n">
        <v>43754</v>
      </c>
      <c r="C1722" s="1" t="n">
        <v>45706</v>
      </c>
      <c r="D1722" t="inlineStr">
        <is>
          <t>DALARNAS LÄN</t>
        </is>
      </c>
      <c r="E1722" t="inlineStr">
        <is>
          <t>MORA</t>
        </is>
      </c>
      <c r="F1722" t="inlineStr">
        <is>
          <t>Övriga Aktiebolag</t>
        </is>
      </c>
      <c r="G1722" t="n">
        <v>12.7</v>
      </c>
      <c r="H1722" t="n">
        <v>0</v>
      </c>
      <c r="I1722" t="n">
        <v>0</v>
      </c>
      <c r="J1722" t="n">
        <v>0</v>
      </c>
      <c r="K1722" t="n">
        <v>0</v>
      </c>
      <c r="L1722" t="n">
        <v>0</v>
      </c>
      <c r="M1722" t="n">
        <v>0</v>
      </c>
      <c r="N1722" t="n">
        <v>0</v>
      </c>
      <c r="O1722" t="n">
        <v>0</v>
      </c>
      <c r="P1722" t="n">
        <v>0</v>
      </c>
      <c r="Q1722" t="n">
        <v>0</v>
      </c>
      <c r="R1722" s="2" t="inlineStr"/>
    </row>
    <row r="1723" ht="15" customHeight="1">
      <c r="A1723" t="inlineStr">
        <is>
          <t>A 55370-2019</t>
        </is>
      </c>
      <c r="B1723" s="1" t="n">
        <v>43754</v>
      </c>
      <c r="C1723" s="1" t="n">
        <v>45706</v>
      </c>
      <c r="D1723" t="inlineStr">
        <is>
          <t>DALARNAS LÄN</t>
        </is>
      </c>
      <c r="E1723" t="inlineStr">
        <is>
          <t>SMEDJEBACKEN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54441-2019</t>
        </is>
      </c>
      <c r="B1724" s="1" t="n">
        <v>43754</v>
      </c>
      <c r="C1724" s="1" t="n">
        <v>45706</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55213-2019</t>
        </is>
      </c>
      <c r="B1725" s="1" t="n">
        <v>43756</v>
      </c>
      <c r="C1725" s="1" t="n">
        <v>45706</v>
      </c>
      <c r="D1725" t="inlineStr">
        <is>
          <t>DALARNAS LÄN</t>
        </is>
      </c>
      <c r="E1725" t="inlineStr">
        <is>
          <t>GAGNEF</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56609-2019</t>
        </is>
      </c>
      <c r="B1726" s="1" t="n">
        <v>43758</v>
      </c>
      <c r="C1726" s="1" t="n">
        <v>45706</v>
      </c>
      <c r="D1726" t="inlineStr">
        <is>
          <t>DALARNAS LÄN</t>
        </is>
      </c>
      <c r="E1726" t="inlineStr">
        <is>
          <t>RÄTTVIK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55522-2019</t>
        </is>
      </c>
      <c r="B1727" s="1" t="n">
        <v>43759</v>
      </c>
      <c r="C1727" s="1" t="n">
        <v>45706</v>
      </c>
      <c r="D1727" t="inlineStr">
        <is>
          <t>DALARNAS LÄN</t>
        </is>
      </c>
      <c r="E1727" t="inlineStr">
        <is>
          <t>ORSA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55815-2019</t>
        </is>
      </c>
      <c r="B1728" s="1" t="n">
        <v>43759</v>
      </c>
      <c r="C1728" s="1" t="n">
        <v>45706</v>
      </c>
      <c r="D1728" t="inlineStr">
        <is>
          <t>DALARNAS LÄN</t>
        </is>
      </c>
      <c r="E1728" t="inlineStr">
        <is>
          <t>FALUN</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55798-2019</t>
        </is>
      </c>
      <c r="B1729" s="1" t="n">
        <v>43759</v>
      </c>
      <c r="C1729" s="1" t="n">
        <v>45706</v>
      </c>
      <c r="D1729" t="inlineStr">
        <is>
          <t>DALARNAS LÄN</t>
        </is>
      </c>
      <c r="E1729" t="inlineStr">
        <is>
          <t>FALUN</t>
        </is>
      </c>
      <c r="F1729" t="inlineStr">
        <is>
          <t>Bergvik skog väst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56690-2019</t>
        </is>
      </c>
      <c r="B1730" s="1" t="n">
        <v>43759</v>
      </c>
      <c r="C1730" s="1" t="n">
        <v>45706</v>
      </c>
      <c r="D1730" t="inlineStr">
        <is>
          <t>DALARNAS LÄN</t>
        </is>
      </c>
      <c r="E1730" t="inlineStr">
        <is>
          <t>FALUN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55871-2019</t>
        </is>
      </c>
      <c r="B1731" s="1" t="n">
        <v>43759</v>
      </c>
      <c r="C1731" s="1" t="n">
        <v>45706</v>
      </c>
      <c r="D1731" t="inlineStr">
        <is>
          <t>DALARNAS LÄN</t>
        </is>
      </c>
      <c r="E1731" t="inlineStr">
        <is>
          <t>FALUN</t>
        </is>
      </c>
      <c r="F1731" t="inlineStr">
        <is>
          <t>Bergvik skog väst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55777-2019</t>
        </is>
      </c>
      <c r="B1732" s="1" t="n">
        <v>43759</v>
      </c>
      <c r="C1732" s="1" t="n">
        <v>45706</v>
      </c>
      <c r="D1732" t="inlineStr">
        <is>
          <t>DALARNAS LÄN</t>
        </is>
      </c>
      <c r="E1732" t="inlineStr">
        <is>
          <t>FALUN</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55576-2019</t>
        </is>
      </c>
      <c r="B1733" s="1" t="n">
        <v>43760</v>
      </c>
      <c r="C1733" s="1" t="n">
        <v>45706</v>
      </c>
      <c r="D1733" t="inlineStr">
        <is>
          <t>DALARNAS LÄN</t>
        </is>
      </c>
      <c r="E1733" t="inlineStr">
        <is>
          <t>SMEDJEBACKEN</t>
        </is>
      </c>
      <c r="F1733" t="inlineStr">
        <is>
          <t>Övriga Aktiebolag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55649-2019</t>
        </is>
      </c>
      <c r="B1734" s="1" t="n">
        <v>43760</v>
      </c>
      <c r="C1734" s="1" t="n">
        <v>45706</v>
      </c>
      <c r="D1734" t="inlineStr">
        <is>
          <t>DALARNAS LÄN</t>
        </is>
      </c>
      <c r="E1734" t="inlineStr">
        <is>
          <t>ÄLVDALEN</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55633-2019</t>
        </is>
      </c>
      <c r="B1735" s="1" t="n">
        <v>43760</v>
      </c>
      <c r="C1735" s="1" t="n">
        <v>45706</v>
      </c>
      <c r="D1735" t="inlineStr">
        <is>
          <t>DALARNAS LÄN</t>
        </is>
      </c>
      <c r="E1735" t="inlineStr">
        <is>
          <t>SMEDJEBACKEN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56135-2019</t>
        </is>
      </c>
      <c r="B1736" s="1" t="n">
        <v>43761</v>
      </c>
      <c r="C1736" s="1" t="n">
        <v>45706</v>
      </c>
      <c r="D1736" t="inlineStr">
        <is>
          <t>DALARNAS LÄN</t>
        </is>
      </c>
      <c r="E1736" t="inlineStr">
        <is>
          <t>SÄTER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56145-2019</t>
        </is>
      </c>
      <c r="B1737" s="1" t="n">
        <v>43761</v>
      </c>
      <c r="C1737" s="1" t="n">
        <v>45706</v>
      </c>
      <c r="D1737" t="inlineStr">
        <is>
          <t>DALARNAS LÄN</t>
        </is>
      </c>
      <c r="E1737" t="inlineStr">
        <is>
          <t>MORA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57663-2019</t>
        </is>
      </c>
      <c r="B1738" s="1" t="n">
        <v>43761</v>
      </c>
      <c r="C1738" s="1" t="n">
        <v>45706</v>
      </c>
      <c r="D1738" t="inlineStr">
        <is>
          <t>DALARNAS LÄN</t>
        </is>
      </c>
      <c r="E1738" t="inlineStr">
        <is>
          <t>RÄTTVIK</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56443-2019</t>
        </is>
      </c>
      <c r="B1739" s="1" t="n">
        <v>43762</v>
      </c>
      <c r="C1739" s="1" t="n">
        <v>45706</v>
      </c>
      <c r="D1739" t="inlineStr">
        <is>
          <t>DALARNAS LÄN</t>
        </is>
      </c>
      <c r="E1739" t="inlineStr">
        <is>
          <t>FALUN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57052-2019</t>
        </is>
      </c>
      <c r="B1740" s="1" t="n">
        <v>43762</v>
      </c>
      <c r="C1740" s="1" t="n">
        <v>45706</v>
      </c>
      <c r="D1740" t="inlineStr">
        <is>
          <t>DALARNAS LÄN</t>
        </is>
      </c>
      <c r="E1740" t="inlineStr">
        <is>
          <t>MALUNG-SÄLEN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56455-2019</t>
        </is>
      </c>
      <c r="B1741" s="1" t="n">
        <v>43762</v>
      </c>
      <c r="C1741" s="1" t="n">
        <v>45706</v>
      </c>
      <c r="D1741" t="inlineStr">
        <is>
          <t>DALARNAS LÄN</t>
        </is>
      </c>
      <c r="E1741" t="inlineStr">
        <is>
          <t>FALUN</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56264-2019</t>
        </is>
      </c>
      <c r="B1742" s="1" t="n">
        <v>43762</v>
      </c>
      <c r="C1742" s="1" t="n">
        <v>45706</v>
      </c>
      <c r="D1742" t="inlineStr">
        <is>
          <t>DALARNAS LÄN</t>
        </is>
      </c>
      <c r="E1742" t="inlineStr">
        <is>
          <t>GAGNEF</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56456-2019</t>
        </is>
      </c>
      <c r="B1743" s="1" t="n">
        <v>43762</v>
      </c>
      <c r="C1743" s="1" t="n">
        <v>45706</v>
      </c>
      <c r="D1743" t="inlineStr">
        <is>
          <t>DALARNAS LÄN</t>
        </is>
      </c>
      <c r="E1743" t="inlineStr">
        <is>
          <t>SÄTER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56523-2019</t>
        </is>
      </c>
      <c r="B1744" s="1" t="n">
        <v>43763</v>
      </c>
      <c r="C1744" s="1" t="n">
        <v>45706</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56714-2019</t>
        </is>
      </c>
      <c r="B1745" s="1" t="n">
        <v>43763</v>
      </c>
      <c r="C1745" s="1" t="n">
        <v>45706</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56862-2019</t>
        </is>
      </c>
      <c r="B1746" s="1" t="n">
        <v>43765</v>
      </c>
      <c r="C1746" s="1" t="n">
        <v>45706</v>
      </c>
      <c r="D1746" t="inlineStr">
        <is>
          <t>DALARNAS LÄN</t>
        </is>
      </c>
      <c r="E1746" t="inlineStr">
        <is>
          <t>ORSA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56844-2019</t>
        </is>
      </c>
      <c r="B1747" s="1" t="n">
        <v>43765</v>
      </c>
      <c r="C1747" s="1" t="n">
        <v>45706</v>
      </c>
      <c r="D1747" t="inlineStr">
        <is>
          <t>DALARNAS LÄN</t>
        </is>
      </c>
      <c r="E1747" t="inlineStr">
        <is>
          <t>LEKSAND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56890-2019</t>
        </is>
      </c>
      <c r="B1748" s="1" t="n">
        <v>43766</v>
      </c>
      <c r="C1748" s="1" t="n">
        <v>45706</v>
      </c>
      <c r="D1748" t="inlineStr">
        <is>
          <t>DALARNAS LÄN</t>
        </is>
      </c>
      <c r="E1748" t="inlineStr">
        <is>
          <t>FALUN</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57067-2019</t>
        </is>
      </c>
      <c r="B1749" s="1" t="n">
        <v>43766</v>
      </c>
      <c r="C1749" s="1" t="n">
        <v>45706</v>
      </c>
      <c r="D1749" t="inlineStr">
        <is>
          <t>DALARNAS LÄN</t>
        </is>
      </c>
      <c r="E1749" t="inlineStr">
        <is>
          <t>SMEDJEBACKEN</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57163-2019</t>
        </is>
      </c>
      <c r="B1750" s="1" t="n">
        <v>43766</v>
      </c>
      <c r="C1750" s="1" t="n">
        <v>45706</v>
      </c>
      <c r="D1750" t="inlineStr">
        <is>
          <t>DALARNAS LÄN</t>
        </is>
      </c>
      <c r="E1750" t="inlineStr">
        <is>
          <t>FALUN</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58514-2019</t>
        </is>
      </c>
      <c r="B1751" s="1" t="n">
        <v>43766</v>
      </c>
      <c r="C1751" s="1" t="n">
        <v>45706</v>
      </c>
      <c r="D1751" t="inlineStr">
        <is>
          <t>DALARNAS LÄN</t>
        </is>
      </c>
      <c r="E1751" t="inlineStr">
        <is>
          <t>RÄTTVIK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57200-2019</t>
        </is>
      </c>
      <c r="B1752" s="1" t="n">
        <v>43767</v>
      </c>
      <c r="C1752" s="1" t="n">
        <v>45706</v>
      </c>
      <c r="D1752" t="inlineStr">
        <is>
          <t>DALARNAS LÄN</t>
        </is>
      </c>
      <c r="E1752" t="inlineStr">
        <is>
          <t>VANSBRO</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57297-2019</t>
        </is>
      </c>
      <c r="B1753" s="1" t="n">
        <v>43767</v>
      </c>
      <c r="C1753" s="1" t="n">
        <v>45706</v>
      </c>
      <c r="D1753" t="inlineStr">
        <is>
          <t>DALARNAS LÄN</t>
        </is>
      </c>
      <c r="E1753" t="inlineStr">
        <is>
          <t>BORLÄNGE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57243-2019</t>
        </is>
      </c>
      <c r="B1754" s="1" t="n">
        <v>43767</v>
      </c>
      <c r="C1754" s="1" t="n">
        <v>45706</v>
      </c>
      <c r="D1754" t="inlineStr">
        <is>
          <t>DALARNAS LÄN</t>
        </is>
      </c>
      <c r="E1754" t="inlineStr">
        <is>
          <t>MALUNG-SÄLEN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57254-2019</t>
        </is>
      </c>
      <c r="B1755" s="1" t="n">
        <v>43767</v>
      </c>
      <c r="C1755" s="1" t="n">
        <v>45706</v>
      </c>
      <c r="D1755" t="inlineStr">
        <is>
          <t>DALARNAS LÄN</t>
        </is>
      </c>
      <c r="E1755" t="inlineStr">
        <is>
          <t>MORA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57490-2019</t>
        </is>
      </c>
      <c r="B1756" s="1" t="n">
        <v>43767</v>
      </c>
      <c r="C1756" s="1" t="n">
        <v>45706</v>
      </c>
      <c r="D1756" t="inlineStr">
        <is>
          <t>DALARNAS LÄN</t>
        </is>
      </c>
      <c r="E1756" t="inlineStr">
        <is>
          <t>RÄTTVIK</t>
        </is>
      </c>
      <c r="F1756" t="inlineStr">
        <is>
          <t>Bergvik skog väst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57486-2019</t>
        </is>
      </c>
      <c r="B1757" s="1" t="n">
        <v>43767</v>
      </c>
      <c r="C1757" s="1" t="n">
        <v>45706</v>
      </c>
      <c r="D1757" t="inlineStr">
        <is>
          <t>DALARNAS LÄN</t>
        </is>
      </c>
      <c r="E1757" t="inlineStr">
        <is>
          <t>MALUNG-SÄLEN</t>
        </is>
      </c>
      <c r="F1757" t="inlineStr">
        <is>
          <t>Övriga statliga verk och myndigheter</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57357-2019</t>
        </is>
      </c>
      <c r="B1758" s="1" t="n">
        <v>43767</v>
      </c>
      <c r="C1758" s="1" t="n">
        <v>45706</v>
      </c>
      <c r="D1758" t="inlineStr">
        <is>
          <t>DALARNAS LÄN</t>
        </is>
      </c>
      <c r="E1758" t="inlineStr">
        <is>
          <t>SMEDJEBACKEN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57221-2019</t>
        </is>
      </c>
      <c r="B1759" s="1" t="n">
        <v>43767</v>
      </c>
      <c r="C1759" s="1" t="n">
        <v>45706</v>
      </c>
      <c r="D1759" t="inlineStr">
        <is>
          <t>DALARNAS LÄN</t>
        </is>
      </c>
      <c r="E1759" t="inlineStr">
        <is>
          <t>LEKSAND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57687-2019</t>
        </is>
      </c>
      <c r="B1760" s="1" t="n">
        <v>43768</v>
      </c>
      <c r="C1760" s="1" t="n">
        <v>45706</v>
      </c>
      <c r="D1760" t="inlineStr">
        <is>
          <t>DALARNAS LÄN</t>
        </is>
      </c>
      <c r="E1760" t="inlineStr">
        <is>
          <t>FALUN</t>
        </is>
      </c>
      <c r="F1760" t="inlineStr">
        <is>
          <t>Bergvik skog väst AB</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57640-2019</t>
        </is>
      </c>
      <c r="B1761" s="1" t="n">
        <v>43768</v>
      </c>
      <c r="C1761" s="1" t="n">
        <v>45706</v>
      </c>
      <c r="D1761" t="inlineStr">
        <is>
          <t>DALARNAS LÄN</t>
        </is>
      </c>
      <c r="E1761" t="inlineStr">
        <is>
          <t>MORA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57728-2019</t>
        </is>
      </c>
      <c r="B1762" s="1" t="n">
        <v>43768</v>
      </c>
      <c r="C1762" s="1" t="n">
        <v>45706</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57618-2019</t>
        </is>
      </c>
      <c r="B1763" s="1" t="n">
        <v>43768</v>
      </c>
      <c r="C1763" s="1" t="n">
        <v>45706</v>
      </c>
      <c r="D1763" t="inlineStr">
        <is>
          <t>DALARNAS LÄN</t>
        </is>
      </c>
      <c r="E1763" t="inlineStr">
        <is>
          <t>BORLÄNGE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57951-2019</t>
        </is>
      </c>
      <c r="B1764" s="1" t="n">
        <v>43769</v>
      </c>
      <c r="C1764" s="1" t="n">
        <v>45706</v>
      </c>
      <c r="D1764" t="inlineStr">
        <is>
          <t>DALARNAS LÄN</t>
        </is>
      </c>
      <c r="E1764" t="inlineStr">
        <is>
          <t>RÄTTVIK</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57989-2019</t>
        </is>
      </c>
      <c r="B1765" s="1" t="n">
        <v>43769</v>
      </c>
      <c r="C1765" s="1" t="n">
        <v>45706</v>
      </c>
      <c r="D1765" t="inlineStr">
        <is>
          <t>DALARNAS LÄN</t>
        </is>
      </c>
      <c r="E1765" t="inlineStr">
        <is>
          <t>MORA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58025-2019</t>
        </is>
      </c>
      <c r="B1766" s="1" t="n">
        <v>43769</v>
      </c>
      <c r="C1766" s="1" t="n">
        <v>45706</v>
      </c>
      <c r="D1766" t="inlineStr">
        <is>
          <t>DALARNAS LÄN</t>
        </is>
      </c>
      <c r="E1766" t="inlineStr">
        <is>
          <t>VANSBRO</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57984-2019</t>
        </is>
      </c>
      <c r="B1767" s="1" t="n">
        <v>43769</v>
      </c>
      <c r="C1767" s="1" t="n">
        <v>45706</v>
      </c>
      <c r="D1767" t="inlineStr">
        <is>
          <t>DALARNAS LÄN</t>
        </is>
      </c>
      <c r="E1767" t="inlineStr">
        <is>
          <t>MORA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58237-2019</t>
        </is>
      </c>
      <c r="B1768" s="1" t="n">
        <v>43770</v>
      </c>
      <c r="C1768" s="1" t="n">
        <v>45706</v>
      </c>
      <c r="D1768" t="inlineStr">
        <is>
          <t>DALARNAS LÄN</t>
        </is>
      </c>
      <c r="E1768" t="inlineStr">
        <is>
          <t>LEKSAND</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59171-2019</t>
        </is>
      </c>
      <c r="B1769" s="1" t="n">
        <v>43770</v>
      </c>
      <c r="C1769" s="1" t="n">
        <v>45706</v>
      </c>
      <c r="D1769" t="inlineStr">
        <is>
          <t>DALARNAS LÄN</t>
        </is>
      </c>
      <c r="E1769" t="inlineStr">
        <is>
          <t>RÄTTVIK</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59304-2019</t>
        </is>
      </c>
      <c r="B1770" s="1" t="n">
        <v>43770</v>
      </c>
      <c r="C1770" s="1" t="n">
        <v>45706</v>
      </c>
      <c r="D1770" t="inlineStr">
        <is>
          <t>DALARNAS LÄN</t>
        </is>
      </c>
      <c r="E1770" t="inlineStr">
        <is>
          <t>LUDVIKA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59176-2019</t>
        </is>
      </c>
      <c r="B1771" s="1" t="n">
        <v>43770</v>
      </c>
      <c r="C1771" s="1" t="n">
        <v>45706</v>
      </c>
      <c r="D1771" t="inlineStr">
        <is>
          <t>DALARNAS LÄN</t>
        </is>
      </c>
      <c r="E1771" t="inlineStr">
        <is>
          <t>RÄTTVIK</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58335-2019</t>
        </is>
      </c>
      <c r="B1772" s="1" t="n">
        <v>43770</v>
      </c>
      <c r="C1772" s="1" t="n">
        <v>45706</v>
      </c>
      <c r="D1772" t="inlineStr">
        <is>
          <t>DALARNAS LÄN</t>
        </is>
      </c>
      <c r="E1772" t="inlineStr">
        <is>
          <t>MORA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58336-2019</t>
        </is>
      </c>
      <c r="B1773" s="1" t="n">
        <v>43770</v>
      </c>
      <c r="C1773" s="1" t="n">
        <v>45706</v>
      </c>
      <c r="D1773" t="inlineStr">
        <is>
          <t>DALARNAS LÄN</t>
        </is>
      </c>
      <c r="E1773" t="inlineStr">
        <is>
          <t>GAGNEF</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58444-2019</t>
        </is>
      </c>
      <c r="B1774" s="1" t="n">
        <v>43773</v>
      </c>
      <c r="C1774" s="1" t="n">
        <v>45706</v>
      </c>
      <c r="D1774" t="inlineStr">
        <is>
          <t>DALARNAS LÄN</t>
        </is>
      </c>
      <c r="E1774" t="inlineStr">
        <is>
          <t>FALUN</t>
        </is>
      </c>
      <c r="F1774" t="inlineStr">
        <is>
          <t>Bergvik skog väst AB</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58463-2019</t>
        </is>
      </c>
      <c r="B1775" s="1" t="n">
        <v>43773</v>
      </c>
      <c r="C1775" s="1" t="n">
        <v>45706</v>
      </c>
      <c r="D1775" t="inlineStr">
        <is>
          <t>DALARNAS LÄN</t>
        </is>
      </c>
      <c r="E1775" t="inlineStr">
        <is>
          <t>FALUN</t>
        </is>
      </c>
      <c r="G1775" t="n">
        <v>15.9</v>
      </c>
      <c r="H1775" t="n">
        <v>0</v>
      </c>
      <c r="I1775" t="n">
        <v>0</v>
      </c>
      <c r="J1775" t="n">
        <v>0</v>
      </c>
      <c r="K1775" t="n">
        <v>0</v>
      </c>
      <c r="L1775" t="n">
        <v>0</v>
      </c>
      <c r="M1775" t="n">
        <v>0</v>
      </c>
      <c r="N1775" t="n">
        <v>0</v>
      </c>
      <c r="O1775" t="n">
        <v>0</v>
      </c>
      <c r="P1775" t="n">
        <v>0</v>
      </c>
      <c r="Q1775" t="n">
        <v>0</v>
      </c>
      <c r="R1775" s="2" t="inlineStr"/>
    </row>
    <row r="1776" ht="15" customHeight="1">
      <c r="A1776" t="inlineStr">
        <is>
          <t>A 58439-2019</t>
        </is>
      </c>
      <c r="B1776" s="1" t="n">
        <v>43773</v>
      </c>
      <c r="C1776" s="1" t="n">
        <v>45706</v>
      </c>
      <c r="D1776" t="inlineStr">
        <is>
          <t>DALARNAS LÄN</t>
        </is>
      </c>
      <c r="E1776" t="inlineStr">
        <is>
          <t>FALUN</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58674-2019</t>
        </is>
      </c>
      <c r="B1777" s="1" t="n">
        <v>43773</v>
      </c>
      <c r="C1777" s="1" t="n">
        <v>45706</v>
      </c>
      <c r="D1777" t="inlineStr">
        <is>
          <t>DALARNAS LÄN</t>
        </is>
      </c>
      <c r="E1777" t="inlineStr">
        <is>
          <t>SMEDJEBACKEN</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58603-2019</t>
        </is>
      </c>
      <c r="B1778" s="1" t="n">
        <v>43773</v>
      </c>
      <c r="C1778" s="1" t="n">
        <v>45706</v>
      </c>
      <c r="D1778" t="inlineStr">
        <is>
          <t>DALARNAS LÄN</t>
        </is>
      </c>
      <c r="E1778" t="inlineStr">
        <is>
          <t>SMEDJEBACKEN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59301-2019</t>
        </is>
      </c>
      <c r="B1779" s="1" t="n">
        <v>43773</v>
      </c>
      <c r="C1779" s="1" t="n">
        <v>45706</v>
      </c>
      <c r="D1779" t="inlineStr">
        <is>
          <t>DALARNAS LÄN</t>
        </is>
      </c>
      <c r="E1779" t="inlineStr">
        <is>
          <t>RÄTTVIK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58433-2019</t>
        </is>
      </c>
      <c r="B1780" s="1" t="n">
        <v>43773</v>
      </c>
      <c r="C1780" s="1" t="n">
        <v>45706</v>
      </c>
      <c r="D1780" t="inlineStr">
        <is>
          <t>DALARNAS LÄN</t>
        </is>
      </c>
      <c r="E1780" t="inlineStr">
        <is>
          <t>FALUN</t>
        </is>
      </c>
      <c r="F1780" t="inlineStr">
        <is>
          <t>Bergvik skog väst AB</t>
        </is>
      </c>
      <c r="G1780" t="n">
        <v>15.4</v>
      </c>
      <c r="H1780" t="n">
        <v>0</v>
      </c>
      <c r="I1780" t="n">
        <v>0</v>
      </c>
      <c r="J1780" t="n">
        <v>0</v>
      </c>
      <c r="K1780" t="n">
        <v>0</v>
      </c>
      <c r="L1780" t="n">
        <v>0</v>
      </c>
      <c r="M1780" t="n">
        <v>0</v>
      </c>
      <c r="N1780" t="n">
        <v>0</v>
      </c>
      <c r="O1780" t="n">
        <v>0</v>
      </c>
      <c r="P1780" t="n">
        <v>0</v>
      </c>
      <c r="Q1780" t="n">
        <v>0</v>
      </c>
      <c r="R1780" s="2" t="inlineStr"/>
    </row>
    <row r="1781" ht="15" customHeight="1">
      <c r="A1781" t="inlineStr">
        <is>
          <t>A 58446-2019</t>
        </is>
      </c>
      <c r="B1781" s="1" t="n">
        <v>43773</v>
      </c>
      <c r="C1781" s="1" t="n">
        <v>45706</v>
      </c>
      <c r="D1781" t="inlineStr">
        <is>
          <t>DALARNAS LÄN</t>
        </is>
      </c>
      <c r="E1781" t="inlineStr">
        <is>
          <t>FALUN</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58419-2019</t>
        </is>
      </c>
      <c r="B1782" s="1" t="n">
        <v>43773</v>
      </c>
      <c r="C1782" s="1" t="n">
        <v>45706</v>
      </c>
      <c r="D1782" t="inlineStr">
        <is>
          <t>DALARNAS LÄN</t>
        </is>
      </c>
      <c r="E1782" t="inlineStr">
        <is>
          <t>SÄTER</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58448-2019</t>
        </is>
      </c>
      <c r="B1783" s="1" t="n">
        <v>43773</v>
      </c>
      <c r="C1783" s="1" t="n">
        <v>45706</v>
      </c>
      <c r="D1783" t="inlineStr">
        <is>
          <t>DALARNAS LÄN</t>
        </is>
      </c>
      <c r="E1783" t="inlineStr">
        <is>
          <t>FALUN</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58828-2019</t>
        </is>
      </c>
      <c r="B1784" s="1" t="n">
        <v>43774</v>
      </c>
      <c r="C1784" s="1" t="n">
        <v>45706</v>
      </c>
      <c r="D1784" t="inlineStr">
        <is>
          <t>DALARNAS LÄN</t>
        </is>
      </c>
      <c r="E1784" t="inlineStr">
        <is>
          <t>FALUN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59006-2019</t>
        </is>
      </c>
      <c r="B1785" s="1" t="n">
        <v>43774</v>
      </c>
      <c r="C1785" s="1" t="n">
        <v>45706</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59007-2019</t>
        </is>
      </c>
      <c r="B1786" s="1" t="n">
        <v>43774</v>
      </c>
      <c r="C1786" s="1" t="n">
        <v>45706</v>
      </c>
      <c r="D1786" t="inlineStr">
        <is>
          <t>DALARNAS LÄN</t>
        </is>
      </c>
      <c r="E1786" t="inlineStr">
        <is>
          <t>ORSA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59010-2019</t>
        </is>
      </c>
      <c r="B1787" s="1" t="n">
        <v>43774</v>
      </c>
      <c r="C1787" s="1" t="n">
        <v>45706</v>
      </c>
      <c r="D1787" t="inlineStr">
        <is>
          <t>DALARNAS LÄN</t>
        </is>
      </c>
      <c r="E1787" t="inlineStr">
        <is>
          <t>VANSBRO</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59016-2019</t>
        </is>
      </c>
      <c r="B1788" s="1" t="n">
        <v>43774</v>
      </c>
      <c r="C1788" s="1" t="n">
        <v>45706</v>
      </c>
      <c r="D1788" t="inlineStr">
        <is>
          <t>DALARNAS LÄN</t>
        </is>
      </c>
      <c r="E1788" t="inlineStr">
        <is>
          <t>VANSBRO</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59180-2019</t>
        </is>
      </c>
      <c r="B1789" s="1" t="n">
        <v>43775</v>
      </c>
      <c r="C1789" s="1" t="n">
        <v>45706</v>
      </c>
      <c r="D1789" t="inlineStr">
        <is>
          <t>DALARNAS LÄN</t>
        </is>
      </c>
      <c r="E1789" t="inlineStr">
        <is>
          <t>SÄTER</t>
        </is>
      </c>
      <c r="F1789" t="inlineStr">
        <is>
          <t>Bergvik skog väst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59199-2019</t>
        </is>
      </c>
      <c r="B1790" s="1" t="n">
        <v>43775</v>
      </c>
      <c r="C1790" s="1" t="n">
        <v>45706</v>
      </c>
      <c r="D1790" t="inlineStr">
        <is>
          <t>DALARNAS LÄN</t>
        </is>
      </c>
      <c r="E1790" t="inlineStr">
        <is>
          <t>SÄTER</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59241-2019</t>
        </is>
      </c>
      <c r="B1791" s="1" t="n">
        <v>43775</v>
      </c>
      <c r="C1791" s="1" t="n">
        <v>45706</v>
      </c>
      <c r="D1791" t="inlineStr">
        <is>
          <t>DALARNAS LÄN</t>
        </is>
      </c>
      <c r="E1791" t="inlineStr">
        <is>
          <t>SÄTER</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59229-2019</t>
        </is>
      </c>
      <c r="B1792" s="1" t="n">
        <v>43775</v>
      </c>
      <c r="C1792" s="1" t="n">
        <v>45706</v>
      </c>
      <c r="D1792" t="inlineStr">
        <is>
          <t>DALARNAS LÄN</t>
        </is>
      </c>
      <c r="E1792" t="inlineStr">
        <is>
          <t>FALUN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59267-2019</t>
        </is>
      </c>
      <c r="B1793" s="1" t="n">
        <v>43775</v>
      </c>
      <c r="C1793" s="1" t="n">
        <v>45706</v>
      </c>
      <c r="D1793" t="inlineStr">
        <is>
          <t>DALARNAS LÄN</t>
        </is>
      </c>
      <c r="E1793" t="inlineStr">
        <is>
          <t>SMEDJEBACKEN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59816-2019</t>
        </is>
      </c>
      <c r="B1794" s="1" t="n">
        <v>43775</v>
      </c>
      <c r="C1794" s="1" t="n">
        <v>45706</v>
      </c>
      <c r="D1794" t="inlineStr">
        <is>
          <t>DALARNAS LÄN</t>
        </is>
      </c>
      <c r="E1794" t="inlineStr">
        <is>
          <t>RÄTTVIK</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59315-2019</t>
        </is>
      </c>
      <c r="B1795" s="1" t="n">
        <v>43775</v>
      </c>
      <c r="C1795" s="1" t="n">
        <v>45706</v>
      </c>
      <c r="D1795" t="inlineStr">
        <is>
          <t>DALARNAS LÄN</t>
        </is>
      </c>
      <c r="E1795" t="inlineStr">
        <is>
          <t>FALUN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59240-2019</t>
        </is>
      </c>
      <c r="B1796" s="1" t="n">
        <v>43775</v>
      </c>
      <c r="C1796" s="1" t="n">
        <v>45706</v>
      </c>
      <c r="D1796" t="inlineStr">
        <is>
          <t>DALARNAS LÄN</t>
        </is>
      </c>
      <c r="E1796" t="inlineStr">
        <is>
          <t>SÄTER</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59189-2019</t>
        </is>
      </c>
      <c r="B1797" s="1" t="n">
        <v>43775</v>
      </c>
      <c r="C1797" s="1" t="n">
        <v>45706</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59488-2019</t>
        </is>
      </c>
      <c r="B1798" s="1" t="n">
        <v>43776</v>
      </c>
      <c r="C1798" s="1" t="n">
        <v>45706</v>
      </c>
      <c r="D1798" t="inlineStr">
        <is>
          <t>DALARNAS LÄN</t>
        </is>
      </c>
      <c r="E1798" t="inlineStr">
        <is>
          <t>ÄLVDALEN</t>
        </is>
      </c>
      <c r="F1798" t="inlineStr">
        <is>
          <t>Bergvik skog väst AB</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59714-2019</t>
        </is>
      </c>
      <c r="B1799" s="1" t="n">
        <v>43776</v>
      </c>
      <c r="C1799" s="1" t="n">
        <v>45706</v>
      </c>
      <c r="D1799" t="inlineStr">
        <is>
          <t>DALARNAS LÄN</t>
        </is>
      </c>
      <c r="E1799" t="inlineStr">
        <is>
          <t>LEKSAND</t>
        </is>
      </c>
      <c r="F1799" t="inlineStr">
        <is>
          <t>Bergvik skog väst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59721-2019</t>
        </is>
      </c>
      <c r="B1800" s="1" t="n">
        <v>43776</v>
      </c>
      <c r="C1800" s="1" t="n">
        <v>45706</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60578-2019</t>
        </is>
      </c>
      <c r="B1801" s="1" t="n">
        <v>43776</v>
      </c>
      <c r="C1801" s="1" t="n">
        <v>45706</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60474-2019</t>
        </is>
      </c>
      <c r="B1802" s="1" t="n">
        <v>43776</v>
      </c>
      <c r="C1802" s="1" t="n">
        <v>45706</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60575-2019</t>
        </is>
      </c>
      <c r="B1803" s="1" t="n">
        <v>43776</v>
      </c>
      <c r="C1803" s="1" t="n">
        <v>45706</v>
      </c>
      <c r="D1803" t="inlineStr">
        <is>
          <t>DALARNAS LÄN</t>
        </is>
      </c>
      <c r="E1803" t="inlineStr">
        <is>
          <t>RÄTTVIK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60473-2019</t>
        </is>
      </c>
      <c r="B1804" s="1" t="n">
        <v>43776</v>
      </c>
      <c r="C1804" s="1" t="n">
        <v>45706</v>
      </c>
      <c r="D1804" t="inlineStr">
        <is>
          <t>DALARNAS LÄN</t>
        </is>
      </c>
      <c r="E1804" t="inlineStr">
        <is>
          <t>RÄTTVIK</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59831-2019</t>
        </is>
      </c>
      <c r="B1805" s="1" t="n">
        <v>43777</v>
      </c>
      <c r="C1805" s="1" t="n">
        <v>45706</v>
      </c>
      <c r="D1805" t="inlineStr">
        <is>
          <t>DALARNAS LÄN</t>
        </is>
      </c>
      <c r="E1805" t="inlineStr">
        <is>
          <t>FALUN</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59846-2019</t>
        </is>
      </c>
      <c r="B1806" s="1" t="n">
        <v>43777</v>
      </c>
      <c r="C1806" s="1" t="n">
        <v>45706</v>
      </c>
      <c r="D1806" t="inlineStr">
        <is>
          <t>DALARNAS LÄN</t>
        </is>
      </c>
      <c r="E1806" t="inlineStr">
        <is>
          <t>ÄLVDALEN</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59959-2019</t>
        </is>
      </c>
      <c r="B1807" s="1" t="n">
        <v>43777</v>
      </c>
      <c r="C1807" s="1" t="n">
        <v>45706</v>
      </c>
      <c r="D1807" t="inlineStr">
        <is>
          <t>DALARNAS LÄN</t>
        </is>
      </c>
      <c r="E1807" t="inlineStr">
        <is>
          <t>ÄLVDALEN</t>
        </is>
      </c>
      <c r="F1807" t="inlineStr">
        <is>
          <t>Allmännings- och besparingsskogar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59947-2019</t>
        </is>
      </c>
      <c r="B1808" s="1" t="n">
        <v>43777</v>
      </c>
      <c r="C1808" s="1" t="n">
        <v>45706</v>
      </c>
      <c r="D1808" t="inlineStr">
        <is>
          <t>DALARNAS LÄN</t>
        </is>
      </c>
      <c r="E1808" t="inlineStr">
        <is>
          <t>ÄLVDALEN</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59957-2019</t>
        </is>
      </c>
      <c r="B1809" s="1" t="n">
        <v>43777</v>
      </c>
      <c r="C1809" s="1" t="n">
        <v>45706</v>
      </c>
      <c r="D1809" t="inlineStr">
        <is>
          <t>DALARNAS LÄN</t>
        </is>
      </c>
      <c r="E1809" t="inlineStr">
        <is>
          <t>ÄLVDALEN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59850-2019</t>
        </is>
      </c>
      <c r="B1810" s="1" t="n">
        <v>43777</v>
      </c>
      <c r="C1810" s="1" t="n">
        <v>45706</v>
      </c>
      <c r="D1810" t="inlineStr">
        <is>
          <t>DALARNAS LÄN</t>
        </is>
      </c>
      <c r="E1810" t="inlineStr">
        <is>
          <t>FALUN</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60095-2019</t>
        </is>
      </c>
      <c r="B1811" s="1" t="n">
        <v>43777</v>
      </c>
      <c r="C1811" s="1" t="n">
        <v>45706</v>
      </c>
      <c r="D1811" t="inlineStr">
        <is>
          <t>DALARNAS LÄN</t>
        </is>
      </c>
      <c r="E1811" t="inlineStr">
        <is>
          <t>SMEDJEBACKEN</t>
        </is>
      </c>
      <c r="F1811" t="inlineStr">
        <is>
          <t>Bergvik skog väst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60139-2019</t>
        </is>
      </c>
      <c r="B1812" s="1" t="n">
        <v>43779</v>
      </c>
      <c r="C1812" s="1" t="n">
        <v>45706</v>
      </c>
      <c r="D1812" t="inlineStr">
        <is>
          <t>DALARNAS LÄN</t>
        </is>
      </c>
      <c r="E1812" t="inlineStr">
        <is>
          <t>HEDEMORA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60148-2019</t>
        </is>
      </c>
      <c r="B1813" s="1" t="n">
        <v>43779</v>
      </c>
      <c r="C1813" s="1" t="n">
        <v>45706</v>
      </c>
      <c r="D1813" t="inlineStr">
        <is>
          <t>DALARNAS LÄN</t>
        </is>
      </c>
      <c r="E1813" t="inlineStr">
        <is>
          <t>SMEDJEBACKEN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60217-2019</t>
        </is>
      </c>
      <c r="B1814" s="1" t="n">
        <v>43780</v>
      </c>
      <c r="C1814" s="1" t="n">
        <v>45706</v>
      </c>
      <c r="D1814" t="inlineStr">
        <is>
          <t>DALARNAS LÄN</t>
        </is>
      </c>
      <c r="E1814" t="inlineStr">
        <is>
          <t>AVESTA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60242-2019</t>
        </is>
      </c>
      <c r="B1815" s="1" t="n">
        <v>43780</v>
      </c>
      <c r="C1815" s="1" t="n">
        <v>45706</v>
      </c>
      <c r="D1815" t="inlineStr">
        <is>
          <t>DALARNAS LÄN</t>
        </is>
      </c>
      <c r="E1815" t="inlineStr">
        <is>
          <t>AVESTA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60319-2019</t>
        </is>
      </c>
      <c r="B1816" s="1" t="n">
        <v>43780</v>
      </c>
      <c r="C1816" s="1" t="n">
        <v>45706</v>
      </c>
      <c r="D1816" t="inlineStr">
        <is>
          <t>DALARNAS LÄN</t>
        </is>
      </c>
      <c r="E1816" t="inlineStr">
        <is>
          <t>HEDEMORA</t>
        </is>
      </c>
      <c r="F1816" t="inlineStr">
        <is>
          <t>Bergvik skog väst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60221-2019</t>
        </is>
      </c>
      <c r="B1817" s="1" t="n">
        <v>43780</v>
      </c>
      <c r="C1817" s="1" t="n">
        <v>45706</v>
      </c>
      <c r="D1817" t="inlineStr">
        <is>
          <t>DALARNAS LÄN</t>
        </is>
      </c>
      <c r="E1817" t="inlineStr">
        <is>
          <t>LUDVIKA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60201-2019</t>
        </is>
      </c>
      <c r="B1818" s="1" t="n">
        <v>43780</v>
      </c>
      <c r="C1818" s="1" t="n">
        <v>45706</v>
      </c>
      <c r="D1818" t="inlineStr">
        <is>
          <t>DALARNAS LÄN</t>
        </is>
      </c>
      <c r="E1818" t="inlineStr">
        <is>
          <t>AVESTA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60414-2019</t>
        </is>
      </c>
      <c r="B1819" s="1" t="n">
        <v>43780</v>
      </c>
      <c r="C1819" s="1" t="n">
        <v>45706</v>
      </c>
      <c r="D1819" t="inlineStr">
        <is>
          <t>DALARNAS LÄN</t>
        </is>
      </c>
      <c r="E1819" t="inlineStr">
        <is>
          <t>AVESTA</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60422-2019</t>
        </is>
      </c>
      <c r="B1820" s="1" t="n">
        <v>43780</v>
      </c>
      <c r="C1820" s="1" t="n">
        <v>45706</v>
      </c>
      <c r="D1820" t="inlineStr">
        <is>
          <t>DALARNAS LÄN</t>
        </is>
      </c>
      <c r="E1820" t="inlineStr">
        <is>
          <t>FALUN</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60280-2019</t>
        </is>
      </c>
      <c r="B1821" s="1" t="n">
        <v>43780</v>
      </c>
      <c r="C1821" s="1" t="n">
        <v>45706</v>
      </c>
      <c r="D1821" t="inlineStr">
        <is>
          <t>DALARNAS LÄN</t>
        </is>
      </c>
      <c r="E1821" t="inlineStr">
        <is>
          <t>AVESTA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60318-2019</t>
        </is>
      </c>
      <c r="B1822" s="1" t="n">
        <v>43780</v>
      </c>
      <c r="C1822" s="1" t="n">
        <v>45706</v>
      </c>
      <c r="D1822" t="inlineStr">
        <is>
          <t>DALARNAS LÄN</t>
        </is>
      </c>
      <c r="E1822" t="inlineStr">
        <is>
          <t>HEDEMORA</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60419-2019</t>
        </is>
      </c>
      <c r="B1823" s="1" t="n">
        <v>43780</v>
      </c>
      <c r="C1823" s="1" t="n">
        <v>45706</v>
      </c>
      <c r="D1823" t="inlineStr">
        <is>
          <t>DALARNAS LÄN</t>
        </is>
      </c>
      <c r="E1823" t="inlineStr">
        <is>
          <t>AVESTA</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60467-2019</t>
        </is>
      </c>
      <c r="B1824" s="1" t="n">
        <v>43780</v>
      </c>
      <c r="C1824" s="1" t="n">
        <v>45706</v>
      </c>
      <c r="D1824" t="inlineStr">
        <is>
          <t>DALARNAS LÄN</t>
        </is>
      </c>
      <c r="E1824" t="inlineStr">
        <is>
          <t>RÄTTVIK</t>
        </is>
      </c>
      <c r="F1824" t="inlineStr">
        <is>
          <t>Övriga statliga verk och myndigheter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61112-2019</t>
        </is>
      </c>
      <c r="B1825" s="1" t="n">
        <v>43780</v>
      </c>
      <c r="C1825" s="1" t="n">
        <v>45706</v>
      </c>
      <c r="D1825" t="inlineStr">
        <is>
          <t>DALARNAS LÄN</t>
        </is>
      </c>
      <c r="E1825" t="inlineStr">
        <is>
          <t>RÄTTVIK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60421-2019</t>
        </is>
      </c>
      <c r="B1826" s="1" t="n">
        <v>43780</v>
      </c>
      <c r="C1826" s="1" t="n">
        <v>45706</v>
      </c>
      <c r="D1826" t="inlineStr">
        <is>
          <t>DALARNAS LÄN</t>
        </is>
      </c>
      <c r="E1826" t="inlineStr">
        <is>
          <t>SMEDJEBACKEN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60461-2019</t>
        </is>
      </c>
      <c r="B1827" s="1" t="n">
        <v>43780</v>
      </c>
      <c r="C1827" s="1" t="n">
        <v>45706</v>
      </c>
      <c r="D1827" t="inlineStr">
        <is>
          <t>DALARNAS LÄN</t>
        </is>
      </c>
      <c r="E1827" t="inlineStr">
        <is>
          <t>HEDEMORA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60809-2019</t>
        </is>
      </c>
      <c r="B1828" s="1" t="n">
        <v>43780</v>
      </c>
      <c r="C1828" s="1" t="n">
        <v>45706</v>
      </c>
      <c r="D1828" t="inlineStr">
        <is>
          <t>DALARNAS LÄN</t>
        </is>
      </c>
      <c r="E1828" t="inlineStr">
        <is>
          <t>LEKSAND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61115-2019</t>
        </is>
      </c>
      <c r="B1829" s="1" t="n">
        <v>43780</v>
      </c>
      <c r="C1829" s="1" t="n">
        <v>45706</v>
      </c>
      <c r="D1829" t="inlineStr">
        <is>
          <t>DALARNAS LÄN</t>
        </is>
      </c>
      <c r="E1829" t="inlineStr">
        <is>
          <t>RÄTTVIK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60345-2019</t>
        </is>
      </c>
      <c r="B1830" s="1" t="n">
        <v>43780</v>
      </c>
      <c r="C1830" s="1" t="n">
        <v>45706</v>
      </c>
      <c r="D1830" t="inlineStr">
        <is>
          <t>DALARNAS LÄN</t>
        </is>
      </c>
      <c r="E1830" t="inlineStr">
        <is>
          <t>ÄLVDALEN</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60304-2019</t>
        </is>
      </c>
      <c r="B1831" s="1" t="n">
        <v>43780</v>
      </c>
      <c r="C1831" s="1" t="n">
        <v>45706</v>
      </c>
      <c r="D1831" t="inlineStr">
        <is>
          <t>DALARNAS LÄN</t>
        </is>
      </c>
      <c r="E1831" t="inlineStr">
        <is>
          <t>AVESTA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60266-2019</t>
        </is>
      </c>
      <c r="B1832" s="1" t="n">
        <v>43780</v>
      </c>
      <c r="C1832" s="1" t="n">
        <v>45706</v>
      </c>
      <c r="D1832" t="inlineStr">
        <is>
          <t>DALARNAS LÄN</t>
        </is>
      </c>
      <c r="E1832" t="inlineStr">
        <is>
          <t>VANSBRO</t>
        </is>
      </c>
      <c r="F1832" t="inlineStr">
        <is>
          <t>Bergvik skog väst AB</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61117-2019</t>
        </is>
      </c>
      <c r="B1833" s="1" t="n">
        <v>43780</v>
      </c>
      <c r="C1833" s="1" t="n">
        <v>45706</v>
      </c>
      <c r="D1833" t="inlineStr">
        <is>
          <t>DALARNAS LÄN</t>
        </is>
      </c>
      <c r="E1833" t="inlineStr">
        <is>
          <t>RÄTTVIK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60937-2019</t>
        </is>
      </c>
      <c r="B1834" s="1" t="n">
        <v>43780</v>
      </c>
      <c r="C1834" s="1" t="n">
        <v>45706</v>
      </c>
      <c r="D1834" t="inlineStr">
        <is>
          <t>DALARNAS LÄN</t>
        </is>
      </c>
      <c r="E1834" t="inlineStr">
        <is>
          <t>SÄTER</t>
        </is>
      </c>
      <c r="F1834" t="inlineStr">
        <is>
          <t>Bergvik skog väst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60532-2019</t>
        </is>
      </c>
      <c r="B1835" s="1" t="n">
        <v>43781</v>
      </c>
      <c r="C1835" s="1" t="n">
        <v>45706</v>
      </c>
      <c r="D1835" t="inlineStr">
        <is>
          <t>DALARNAS LÄN</t>
        </is>
      </c>
      <c r="E1835" t="inlineStr">
        <is>
          <t>VANSBRO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60543-2019</t>
        </is>
      </c>
      <c r="B1836" s="1" t="n">
        <v>43781</v>
      </c>
      <c r="C1836" s="1" t="n">
        <v>45706</v>
      </c>
      <c r="D1836" t="inlineStr">
        <is>
          <t>DALARNAS LÄN</t>
        </is>
      </c>
      <c r="E1836" t="inlineStr">
        <is>
          <t>HEDEMORA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60529-2019</t>
        </is>
      </c>
      <c r="B1837" s="1" t="n">
        <v>43781</v>
      </c>
      <c r="C1837" s="1" t="n">
        <v>45706</v>
      </c>
      <c r="D1837" t="inlineStr">
        <is>
          <t>DALARNAS LÄN</t>
        </is>
      </c>
      <c r="E1837" t="inlineStr">
        <is>
          <t>HEDEMORA</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60629-2019</t>
        </is>
      </c>
      <c r="B1838" s="1" t="n">
        <v>43781</v>
      </c>
      <c r="C1838" s="1" t="n">
        <v>45706</v>
      </c>
      <c r="D1838" t="inlineStr">
        <is>
          <t>DALARNAS LÄN</t>
        </is>
      </c>
      <c r="E1838" t="inlineStr">
        <is>
          <t>GAGNEF</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60810-2019</t>
        </is>
      </c>
      <c r="B1839" s="1" t="n">
        <v>43781</v>
      </c>
      <c r="C1839" s="1" t="n">
        <v>45706</v>
      </c>
      <c r="D1839" t="inlineStr">
        <is>
          <t>DALARNAS LÄN</t>
        </is>
      </c>
      <c r="E1839" t="inlineStr">
        <is>
          <t>SÄTER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60804-2019</t>
        </is>
      </c>
      <c r="B1840" s="1" t="n">
        <v>43781</v>
      </c>
      <c r="C1840" s="1" t="n">
        <v>45706</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60556-2019</t>
        </is>
      </c>
      <c r="B1841" s="1" t="n">
        <v>43781</v>
      </c>
      <c r="C1841" s="1" t="n">
        <v>45706</v>
      </c>
      <c r="D1841" t="inlineStr">
        <is>
          <t>DALARNAS LÄN</t>
        </is>
      </c>
      <c r="E1841" t="inlineStr">
        <is>
          <t>HEDEMORA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61007-2019</t>
        </is>
      </c>
      <c r="B1842" s="1" t="n">
        <v>43782</v>
      </c>
      <c r="C1842" s="1" t="n">
        <v>45706</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60957-2019</t>
        </is>
      </c>
      <c r="B1843" s="1" t="n">
        <v>43782</v>
      </c>
      <c r="C1843" s="1" t="n">
        <v>45706</v>
      </c>
      <c r="D1843" t="inlineStr">
        <is>
          <t>DALARNAS LÄN</t>
        </is>
      </c>
      <c r="E1843" t="inlineStr">
        <is>
          <t>MALUNG-SÄLEN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61077-2019</t>
        </is>
      </c>
      <c r="B1844" s="1" t="n">
        <v>43782</v>
      </c>
      <c r="C1844" s="1" t="n">
        <v>45706</v>
      </c>
      <c r="D1844" t="inlineStr">
        <is>
          <t>DALARNAS LÄN</t>
        </is>
      </c>
      <c r="E1844" t="inlineStr">
        <is>
          <t>MORA</t>
        </is>
      </c>
      <c r="F1844" t="inlineStr">
        <is>
          <t>Bergvik skog öst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61107-2019</t>
        </is>
      </c>
      <c r="B1845" s="1" t="n">
        <v>43782</v>
      </c>
      <c r="C1845" s="1" t="n">
        <v>45706</v>
      </c>
      <c r="D1845" t="inlineStr">
        <is>
          <t>DALARNAS LÄN</t>
        </is>
      </c>
      <c r="E1845" t="inlineStr">
        <is>
          <t>BORLÄNGE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61027-2019</t>
        </is>
      </c>
      <c r="B1846" s="1" t="n">
        <v>43782</v>
      </c>
      <c r="C1846" s="1" t="n">
        <v>45706</v>
      </c>
      <c r="D1846" t="inlineStr">
        <is>
          <t>DALARNAS LÄN</t>
        </is>
      </c>
      <c r="E1846" t="inlineStr">
        <is>
          <t>LUDVIKA</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61063-2019</t>
        </is>
      </c>
      <c r="B1847" s="1" t="n">
        <v>43782</v>
      </c>
      <c r="C1847" s="1" t="n">
        <v>45706</v>
      </c>
      <c r="D1847" t="inlineStr">
        <is>
          <t>DALARNAS LÄN</t>
        </is>
      </c>
      <c r="E1847" t="inlineStr">
        <is>
          <t>MORA</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61111-2019</t>
        </is>
      </c>
      <c r="B1848" s="1" t="n">
        <v>43782</v>
      </c>
      <c r="C1848" s="1" t="n">
        <v>45706</v>
      </c>
      <c r="D1848" t="inlineStr">
        <is>
          <t>DALARNAS LÄN</t>
        </is>
      </c>
      <c r="E1848" t="inlineStr">
        <is>
          <t>LEKSAND</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61100-2019</t>
        </is>
      </c>
      <c r="B1849" s="1" t="n">
        <v>43782</v>
      </c>
      <c r="C1849" s="1" t="n">
        <v>45706</v>
      </c>
      <c r="D1849" t="inlineStr">
        <is>
          <t>DALARNAS LÄN</t>
        </is>
      </c>
      <c r="E1849" t="inlineStr">
        <is>
          <t>MALUNG-SÄLEN</t>
        </is>
      </c>
      <c r="F1849" t="inlineStr">
        <is>
          <t>Bergvik skog väst AB</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61113-2019</t>
        </is>
      </c>
      <c r="B1850" s="1" t="n">
        <v>43782</v>
      </c>
      <c r="C1850" s="1" t="n">
        <v>45706</v>
      </c>
      <c r="D1850" t="inlineStr">
        <is>
          <t>DALARNAS LÄN</t>
        </is>
      </c>
      <c r="E1850" t="inlineStr">
        <is>
          <t>LEKSAND</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62120-2019</t>
        </is>
      </c>
      <c r="B1851" s="1" t="n">
        <v>43782</v>
      </c>
      <c r="C1851" s="1" t="n">
        <v>45706</v>
      </c>
      <c r="D1851" t="inlineStr">
        <is>
          <t>DALARNAS LÄN</t>
        </is>
      </c>
      <c r="E1851" t="inlineStr">
        <is>
          <t>AVESTA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61227-2019</t>
        </is>
      </c>
      <c r="B1852" s="1" t="n">
        <v>43783</v>
      </c>
      <c r="C1852" s="1" t="n">
        <v>45706</v>
      </c>
      <c r="D1852" t="inlineStr">
        <is>
          <t>DALARNAS LÄN</t>
        </is>
      </c>
      <c r="E1852" t="inlineStr">
        <is>
          <t>FALUN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61257-2019</t>
        </is>
      </c>
      <c r="B1853" s="1" t="n">
        <v>43783</v>
      </c>
      <c r="C1853" s="1" t="n">
        <v>45706</v>
      </c>
      <c r="D1853" t="inlineStr">
        <is>
          <t>DALARNAS LÄN</t>
        </is>
      </c>
      <c r="E1853" t="inlineStr">
        <is>
          <t>RÄTTVIK</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61288-2019</t>
        </is>
      </c>
      <c r="B1854" s="1" t="n">
        <v>43783</v>
      </c>
      <c r="C1854" s="1" t="n">
        <v>45706</v>
      </c>
      <c r="D1854" t="inlineStr">
        <is>
          <t>DALARNAS LÄN</t>
        </is>
      </c>
      <c r="E1854" t="inlineStr">
        <is>
          <t>BORLÄNGE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61382-2019</t>
        </is>
      </c>
      <c r="B1855" s="1" t="n">
        <v>43783</v>
      </c>
      <c r="C1855" s="1" t="n">
        <v>45706</v>
      </c>
      <c r="D1855" t="inlineStr">
        <is>
          <t>DALARNAS LÄN</t>
        </is>
      </c>
      <c r="E1855" t="inlineStr">
        <is>
          <t>HEDEMORA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61262-2019</t>
        </is>
      </c>
      <c r="B1856" s="1" t="n">
        <v>43783</v>
      </c>
      <c r="C1856" s="1" t="n">
        <v>45706</v>
      </c>
      <c r="D1856" t="inlineStr">
        <is>
          <t>DALARNAS LÄN</t>
        </is>
      </c>
      <c r="E1856" t="inlineStr">
        <is>
          <t>ÄLVDALEN</t>
        </is>
      </c>
      <c r="F1856" t="inlineStr">
        <is>
          <t>Bergvik skog väst AB</t>
        </is>
      </c>
      <c r="G1856" t="n">
        <v>12.9</v>
      </c>
      <c r="H1856" t="n">
        <v>0</v>
      </c>
      <c r="I1856" t="n">
        <v>0</v>
      </c>
      <c r="J1856" t="n">
        <v>0</v>
      </c>
      <c r="K1856" t="n">
        <v>0</v>
      </c>
      <c r="L1856" t="n">
        <v>0</v>
      </c>
      <c r="M1856" t="n">
        <v>0</v>
      </c>
      <c r="N1856" t="n">
        <v>0</v>
      </c>
      <c r="O1856" t="n">
        <v>0</v>
      </c>
      <c r="P1856" t="n">
        <v>0</v>
      </c>
      <c r="Q1856" t="n">
        <v>0</v>
      </c>
      <c r="R1856" s="2" t="inlineStr"/>
    </row>
    <row r="1857" ht="15" customHeight="1">
      <c r="A1857" t="inlineStr">
        <is>
          <t>A 61280-2019</t>
        </is>
      </c>
      <c r="B1857" s="1" t="n">
        <v>43783</v>
      </c>
      <c r="C1857" s="1" t="n">
        <v>45706</v>
      </c>
      <c r="D1857" t="inlineStr">
        <is>
          <t>DALARNAS LÄN</t>
        </is>
      </c>
      <c r="E1857" t="inlineStr">
        <is>
          <t>MALUNG-SÄLEN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61324-2019</t>
        </is>
      </c>
      <c r="B1858" s="1" t="n">
        <v>43783</v>
      </c>
      <c r="C1858" s="1" t="n">
        <v>45706</v>
      </c>
      <c r="D1858" t="inlineStr">
        <is>
          <t>DALARNAS LÄN</t>
        </is>
      </c>
      <c r="E1858" t="inlineStr">
        <is>
          <t>MORA</t>
        </is>
      </c>
      <c r="F1858" t="inlineStr">
        <is>
          <t>Bergvik skog väst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61235-2019</t>
        </is>
      </c>
      <c r="B1859" s="1" t="n">
        <v>43783</v>
      </c>
      <c r="C1859" s="1" t="n">
        <v>45706</v>
      </c>
      <c r="D1859" t="inlineStr">
        <is>
          <t>DALARNAS LÄN</t>
        </is>
      </c>
      <c r="E1859" t="inlineStr">
        <is>
          <t>ÄLVDALEN</t>
        </is>
      </c>
      <c r="F1859" t="inlineStr">
        <is>
          <t>Bergvik skog väst AB</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61267-2019</t>
        </is>
      </c>
      <c r="B1860" s="1" t="n">
        <v>43783</v>
      </c>
      <c r="C1860" s="1" t="n">
        <v>45706</v>
      </c>
      <c r="D1860" t="inlineStr">
        <is>
          <t>DALARNAS LÄN</t>
        </is>
      </c>
      <c r="E1860" t="inlineStr">
        <is>
          <t>FALUN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61312-2019</t>
        </is>
      </c>
      <c r="B1861" s="1" t="n">
        <v>43783</v>
      </c>
      <c r="C1861" s="1" t="n">
        <v>45706</v>
      </c>
      <c r="D1861" t="inlineStr">
        <is>
          <t>DALARNAS LÄN</t>
        </is>
      </c>
      <c r="E1861" t="inlineStr">
        <is>
          <t>ÄLVDALEN</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61303-2019</t>
        </is>
      </c>
      <c r="B1862" s="1" t="n">
        <v>43783</v>
      </c>
      <c r="C1862" s="1" t="n">
        <v>45706</v>
      </c>
      <c r="D1862" t="inlineStr">
        <is>
          <t>DALARNAS LÄN</t>
        </is>
      </c>
      <c r="E1862" t="inlineStr">
        <is>
          <t>ÄLVDALEN</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61261-2019</t>
        </is>
      </c>
      <c r="B1863" s="1" t="n">
        <v>43783</v>
      </c>
      <c r="C1863" s="1" t="n">
        <v>45706</v>
      </c>
      <c r="D1863" t="inlineStr">
        <is>
          <t>DALARNAS LÄN</t>
        </is>
      </c>
      <c r="E1863" t="inlineStr">
        <is>
          <t>FALUN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61646-2019</t>
        </is>
      </c>
      <c r="B1864" s="1" t="n">
        <v>43784</v>
      </c>
      <c r="C1864" s="1" t="n">
        <v>45706</v>
      </c>
      <c r="D1864" t="inlineStr">
        <is>
          <t>DALARNAS LÄN</t>
        </is>
      </c>
      <c r="E1864" t="inlineStr">
        <is>
          <t>MORA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61673-2019</t>
        </is>
      </c>
      <c r="B1865" s="1" t="n">
        <v>43784</v>
      </c>
      <c r="C1865" s="1" t="n">
        <v>45706</v>
      </c>
      <c r="D1865" t="inlineStr">
        <is>
          <t>DALARNAS LÄN</t>
        </is>
      </c>
      <c r="E1865" t="inlineStr">
        <is>
          <t>FALUN</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62807-2019</t>
        </is>
      </c>
      <c r="B1866" s="1" t="n">
        <v>43784</v>
      </c>
      <c r="C1866" s="1" t="n">
        <v>45706</v>
      </c>
      <c r="D1866" t="inlineStr">
        <is>
          <t>DALARNAS LÄN</t>
        </is>
      </c>
      <c r="E1866" t="inlineStr">
        <is>
          <t>RÄTTVIK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62738-2019</t>
        </is>
      </c>
      <c r="B1867" s="1" t="n">
        <v>43786</v>
      </c>
      <c r="C1867" s="1" t="n">
        <v>45706</v>
      </c>
      <c r="D1867" t="inlineStr">
        <is>
          <t>DALARNAS LÄN</t>
        </is>
      </c>
      <c r="E1867" t="inlineStr">
        <is>
          <t>RÄTTVIK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63333-2019</t>
        </is>
      </c>
      <c r="B1868" s="1" t="n">
        <v>43787</v>
      </c>
      <c r="C1868" s="1" t="n">
        <v>45706</v>
      </c>
      <c r="D1868" t="inlineStr">
        <is>
          <t>DALARNAS LÄN</t>
        </is>
      </c>
      <c r="E1868" t="inlineStr">
        <is>
          <t>MALUNG-SÄLEN</t>
        </is>
      </c>
      <c r="F1868" t="inlineStr">
        <is>
          <t>Allmännings- och besparingsskogar</t>
        </is>
      </c>
      <c r="G1868" t="n">
        <v>34.6</v>
      </c>
      <c r="H1868" t="n">
        <v>0</v>
      </c>
      <c r="I1868" t="n">
        <v>0</v>
      </c>
      <c r="J1868" t="n">
        <v>0</v>
      </c>
      <c r="K1868" t="n">
        <v>0</v>
      </c>
      <c r="L1868" t="n">
        <v>0</v>
      </c>
      <c r="M1868" t="n">
        <v>0</v>
      </c>
      <c r="N1868" t="n">
        <v>0</v>
      </c>
      <c r="O1868" t="n">
        <v>0</v>
      </c>
      <c r="P1868" t="n">
        <v>0</v>
      </c>
      <c r="Q1868" t="n">
        <v>0</v>
      </c>
      <c r="R1868" s="2" t="inlineStr"/>
    </row>
    <row r="1869" ht="15" customHeight="1">
      <c r="A1869" t="inlineStr">
        <is>
          <t>A 62001-2019</t>
        </is>
      </c>
      <c r="B1869" s="1" t="n">
        <v>43787</v>
      </c>
      <c r="C1869" s="1" t="n">
        <v>45706</v>
      </c>
      <c r="D1869" t="inlineStr">
        <is>
          <t>DALARNAS LÄN</t>
        </is>
      </c>
      <c r="E1869" t="inlineStr">
        <is>
          <t>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62247-2019</t>
        </is>
      </c>
      <c r="B1870" s="1" t="n">
        <v>43788</v>
      </c>
      <c r="C1870" s="1" t="n">
        <v>45706</v>
      </c>
      <c r="D1870" t="inlineStr">
        <is>
          <t>DALARNAS LÄN</t>
        </is>
      </c>
      <c r="E1870" t="inlineStr">
        <is>
          <t>MALUNG-SÄLEN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62248-2019</t>
        </is>
      </c>
      <c r="B1871" s="1" t="n">
        <v>43788</v>
      </c>
      <c r="C1871" s="1" t="n">
        <v>45706</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62307-2019</t>
        </is>
      </c>
      <c r="B1872" s="1" t="n">
        <v>43788</v>
      </c>
      <c r="C1872" s="1" t="n">
        <v>45706</v>
      </c>
      <c r="D1872" t="inlineStr">
        <is>
          <t>DALARNAS LÄN</t>
        </is>
      </c>
      <c r="E1872" t="inlineStr">
        <is>
          <t>GAGNEF</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62356-2019</t>
        </is>
      </c>
      <c r="B1873" s="1" t="n">
        <v>43788</v>
      </c>
      <c r="C1873" s="1" t="n">
        <v>45706</v>
      </c>
      <c r="D1873" t="inlineStr">
        <is>
          <t>DALARNAS LÄN</t>
        </is>
      </c>
      <c r="E1873" t="inlineStr">
        <is>
          <t>LUDVIKA</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62312-2019</t>
        </is>
      </c>
      <c r="B1874" s="1" t="n">
        <v>43788</v>
      </c>
      <c r="C1874" s="1" t="n">
        <v>45706</v>
      </c>
      <c r="D1874" t="inlineStr">
        <is>
          <t>DALARNAS LÄN</t>
        </is>
      </c>
      <c r="E1874" t="inlineStr">
        <is>
          <t>MALUNG-SÄLEN</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62419-2019</t>
        </is>
      </c>
      <c r="B1875" s="1" t="n">
        <v>43788</v>
      </c>
      <c r="C1875" s="1" t="n">
        <v>45706</v>
      </c>
      <c r="D1875" t="inlineStr">
        <is>
          <t>DALARNAS LÄN</t>
        </is>
      </c>
      <c r="E1875" t="inlineStr">
        <is>
          <t>VANSBRO</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62450-2019</t>
        </is>
      </c>
      <c r="B1876" s="1" t="n">
        <v>43788</v>
      </c>
      <c r="C1876" s="1" t="n">
        <v>45706</v>
      </c>
      <c r="D1876" t="inlineStr">
        <is>
          <t>DALARNAS LÄN</t>
        </is>
      </c>
      <c r="E1876" t="inlineStr">
        <is>
          <t>VANSBRO</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62630-2019</t>
        </is>
      </c>
      <c r="B1877" s="1" t="n">
        <v>43789</v>
      </c>
      <c r="C1877" s="1" t="n">
        <v>45706</v>
      </c>
      <c r="D1877" t="inlineStr">
        <is>
          <t>DALARNAS LÄN</t>
        </is>
      </c>
      <c r="E1877" t="inlineStr">
        <is>
          <t>ÄLVDALEN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62691-2019</t>
        </is>
      </c>
      <c r="B1878" s="1" t="n">
        <v>43789</v>
      </c>
      <c r="C1878" s="1" t="n">
        <v>45706</v>
      </c>
      <c r="D1878" t="inlineStr">
        <is>
          <t>DALARNAS LÄN</t>
        </is>
      </c>
      <c r="E1878" t="inlineStr">
        <is>
          <t>ÄLVDALEN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62537-2019</t>
        </is>
      </c>
      <c r="B1879" s="1" t="n">
        <v>43789</v>
      </c>
      <c r="C1879" s="1" t="n">
        <v>45706</v>
      </c>
      <c r="D1879" t="inlineStr">
        <is>
          <t>DALARNAS LÄN</t>
        </is>
      </c>
      <c r="E1879" t="inlineStr">
        <is>
          <t>VANSBRO</t>
        </is>
      </c>
      <c r="F1879" t="inlineStr">
        <is>
          <t>Bergvik skog väst AB</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62818-2019</t>
        </is>
      </c>
      <c r="B1880" s="1" t="n">
        <v>43790</v>
      </c>
      <c r="C1880" s="1" t="n">
        <v>45706</v>
      </c>
      <c r="D1880" t="inlineStr">
        <is>
          <t>DALARNAS LÄN</t>
        </is>
      </c>
      <c r="E1880" t="inlineStr">
        <is>
          <t>AVESTA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62913-2019</t>
        </is>
      </c>
      <c r="B1881" s="1" t="n">
        <v>43790</v>
      </c>
      <c r="C1881" s="1" t="n">
        <v>45706</v>
      </c>
      <c r="D1881" t="inlineStr">
        <is>
          <t>DALARNAS LÄN</t>
        </is>
      </c>
      <c r="E1881" t="inlineStr">
        <is>
          <t>VANSBRO</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62854-2019</t>
        </is>
      </c>
      <c r="B1882" s="1" t="n">
        <v>43790</v>
      </c>
      <c r="C1882" s="1" t="n">
        <v>45706</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63093-2019</t>
        </is>
      </c>
      <c r="B1883" s="1" t="n">
        <v>43791</v>
      </c>
      <c r="C1883" s="1" t="n">
        <v>45706</v>
      </c>
      <c r="D1883" t="inlineStr">
        <is>
          <t>DALARNAS LÄN</t>
        </is>
      </c>
      <c r="E1883" t="inlineStr">
        <is>
          <t>MORA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63101-2019</t>
        </is>
      </c>
      <c r="B1884" s="1" t="n">
        <v>43791</v>
      </c>
      <c r="C1884" s="1" t="n">
        <v>45706</v>
      </c>
      <c r="D1884" t="inlineStr">
        <is>
          <t>DALARNAS LÄN</t>
        </is>
      </c>
      <c r="E1884" t="inlineStr">
        <is>
          <t>HEDEMORA</t>
        </is>
      </c>
      <c r="F1884" t="inlineStr">
        <is>
          <t>Kommuner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63149-2019</t>
        </is>
      </c>
      <c r="B1885" s="1" t="n">
        <v>43791</v>
      </c>
      <c r="C1885" s="1" t="n">
        <v>45706</v>
      </c>
      <c r="D1885" t="inlineStr">
        <is>
          <t>DALARNAS LÄN</t>
        </is>
      </c>
      <c r="E1885" t="inlineStr">
        <is>
          <t>LUDVIKA</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63072-2019</t>
        </is>
      </c>
      <c r="B1886" s="1" t="n">
        <v>43791</v>
      </c>
      <c r="C1886" s="1" t="n">
        <v>45706</v>
      </c>
      <c r="D1886" t="inlineStr">
        <is>
          <t>DALARNAS LÄN</t>
        </is>
      </c>
      <c r="E1886" t="inlineStr">
        <is>
          <t>MORA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63161-2019</t>
        </is>
      </c>
      <c r="B1887" s="1" t="n">
        <v>43791</v>
      </c>
      <c r="C1887" s="1" t="n">
        <v>45706</v>
      </c>
      <c r="D1887" t="inlineStr">
        <is>
          <t>DALARNAS LÄN</t>
        </is>
      </c>
      <c r="E1887" t="inlineStr">
        <is>
          <t>ÄLVDALEN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63242-2019</t>
        </is>
      </c>
      <c r="B1888" s="1" t="n">
        <v>43792</v>
      </c>
      <c r="C1888" s="1" t="n">
        <v>45706</v>
      </c>
      <c r="D1888" t="inlineStr">
        <is>
          <t>DALARNAS LÄN</t>
        </is>
      </c>
      <c r="E1888" t="inlineStr">
        <is>
          <t>ÄLVDALEN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63470-2019</t>
        </is>
      </c>
      <c r="B1889" s="1" t="n">
        <v>43794</v>
      </c>
      <c r="C1889" s="1" t="n">
        <v>45706</v>
      </c>
      <c r="D1889" t="inlineStr">
        <is>
          <t>DALARNAS LÄN</t>
        </is>
      </c>
      <c r="E1889" t="inlineStr">
        <is>
          <t>ÄLVDALEN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64635-2019</t>
        </is>
      </c>
      <c r="B1890" s="1" t="n">
        <v>43794</v>
      </c>
      <c r="C1890" s="1" t="n">
        <v>45706</v>
      </c>
      <c r="D1890" t="inlineStr">
        <is>
          <t>DALARNAS LÄN</t>
        </is>
      </c>
      <c r="E1890" t="inlineStr">
        <is>
          <t>LEKSAND</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63536-2019</t>
        </is>
      </c>
      <c r="B1891" s="1" t="n">
        <v>43794</v>
      </c>
      <c r="C1891" s="1" t="n">
        <v>45706</v>
      </c>
      <c r="D1891" t="inlineStr">
        <is>
          <t>DALARNAS LÄN</t>
        </is>
      </c>
      <c r="E1891" t="inlineStr">
        <is>
          <t>ÄLVDALEN</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63655-2019</t>
        </is>
      </c>
      <c r="B1892" s="1" t="n">
        <v>43795</v>
      </c>
      <c r="C1892" s="1" t="n">
        <v>45706</v>
      </c>
      <c r="D1892" t="inlineStr">
        <is>
          <t>DALARNAS LÄN</t>
        </is>
      </c>
      <c r="E1892" t="inlineStr">
        <is>
          <t>MORA</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63796-2019</t>
        </is>
      </c>
      <c r="B1893" s="1" t="n">
        <v>43795</v>
      </c>
      <c r="C1893" s="1" t="n">
        <v>45706</v>
      </c>
      <c r="D1893" t="inlineStr">
        <is>
          <t>DALARNAS LÄN</t>
        </is>
      </c>
      <c r="E1893" t="inlineStr">
        <is>
          <t>SMEDJEBACKEN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63787-2019</t>
        </is>
      </c>
      <c r="B1894" s="1" t="n">
        <v>43795</v>
      </c>
      <c r="C1894" s="1" t="n">
        <v>45706</v>
      </c>
      <c r="D1894" t="inlineStr">
        <is>
          <t>DALARNAS LÄN</t>
        </is>
      </c>
      <c r="E1894" t="inlineStr">
        <is>
          <t>ÄLVDALEN</t>
        </is>
      </c>
      <c r="F1894" t="inlineStr">
        <is>
          <t>Sveaskog</t>
        </is>
      </c>
      <c r="G1894" t="n">
        <v>14.1</v>
      </c>
      <c r="H1894" t="n">
        <v>0</v>
      </c>
      <c r="I1894" t="n">
        <v>0</v>
      </c>
      <c r="J1894" t="n">
        <v>0</v>
      </c>
      <c r="K1894" t="n">
        <v>0</v>
      </c>
      <c r="L1894" t="n">
        <v>0</v>
      </c>
      <c r="M1894" t="n">
        <v>0</v>
      </c>
      <c r="N1894" t="n">
        <v>0</v>
      </c>
      <c r="O1894" t="n">
        <v>0</v>
      </c>
      <c r="P1894" t="n">
        <v>0</v>
      </c>
      <c r="Q1894" t="n">
        <v>0</v>
      </c>
      <c r="R1894" s="2" t="inlineStr"/>
    </row>
    <row r="1895" ht="15" customHeight="1">
      <c r="A1895" t="inlineStr">
        <is>
          <t>A 63928-2019</t>
        </is>
      </c>
      <c r="B1895" s="1" t="n">
        <v>43796</v>
      </c>
      <c r="C1895" s="1" t="n">
        <v>45706</v>
      </c>
      <c r="D1895" t="inlineStr">
        <is>
          <t>DALARNAS LÄN</t>
        </is>
      </c>
      <c r="E1895" t="inlineStr">
        <is>
          <t>FALUN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64300-2019</t>
        </is>
      </c>
      <c r="B1896" s="1" t="n">
        <v>43797</v>
      </c>
      <c r="C1896" s="1" t="n">
        <v>45706</v>
      </c>
      <c r="D1896" t="inlineStr">
        <is>
          <t>DALARNAS LÄN</t>
        </is>
      </c>
      <c r="E1896" t="inlineStr">
        <is>
          <t>LUDVIKA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64389-2019</t>
        </is>
      </c>
      <c r="B1897" s="1" t="n">
        <v>43797</v>
      </c>
      <c r="C1897" s="1" t="n">
        <v>45706</v>
      </c>
      <c r="D1897" t="inlineStr">
        <is>
          <t>DALARNAS LÄN</t>
        </is>
      </c>
      <c r="E1897" t="inlineStr">
        <is>
          <t>ORSA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65199-2019</t>
        </is>
      </c>
      <c r="B1898" s="1" t="n">
        <v>43797</v>
      </c>
      <c r="C1898" s="1" t="n">
        <v>45706</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65252-2019</t>
        </is>
      </c>
      <c r="B1899" s="1" t="n">
        <v>43797</v>
      </c>
      <c r="C1899" s="1" t="n">
        <v>45706</v>
      </c>
      <c r="D1899" t="inlineStr">
        <is>
          <t>DALARNAS LÄN</t>
        </is>
      </c>
      <c r="E1899" t="inlineStr">
        <is>
          <t>ORSA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64583-2019</t>
        </is>
      </c>
      <c r="B1900" s="1" t="n">
        <v>43798</v>
      </c>
      <c r="C1900" s="1" t="n">
        <v>45706</v>
      </c>
      <c r="D1900" t="inlineStr">
        <is>
          <t>DALARNAS LÄN</t>
        </is>
      </c>
      <c r="E1900" t="inlineStr">
        <is>
          <t>LUDVIKA</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64684-2019</t>
        </is>
      </c>
      <c r="B1901" s="1" t="n">
        <v>43798</v>
      </c>
      <c r="C1901" s="1" t="n">
        <v>45706</v>
      </c>
      <c r="D1901" t="inlineStr">
        <is>
          <t>DALARNAS LÄN</t>
        </is>
      </c>
      <c r="E1901" t="inlineStr">
        <is>
          <t>LUDVIKA</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64705-2019</t>
        </is>
      </c>
      <c r="B1902" s="1" t="n">
        <v>43798</v>
      </c>
      <c r="C1902" s="1" t="n">
        <v>45706</v>
      </c>
      <c r="D1902" t="inlineStr">
        <is>
          <t>DALARNAS LÄN</t>
        </is>
      </c>
      <c r="E1902" t="inlineStr">
        <is>
          <t>SMEDJEBACKEN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64693-2019</t>
        </is>
      </c>
      <c r="B1903" s="1" t="n">
        <v>43798</v>
      </c>
      <c r="C1903" s="1" t="n">
        <v>45706</v>
      </c>
      <c r="D1903" t="inlineStr">
        <is>
          <t>DALARNAS LÄN</t>
        </is>
      </c>
      <c r="E1903" t="inlineStr">
        <is>
          <t>LUDVIKA</t>
        </is>
      </c>
      <c r="F1903" t="inlineStr">
        <is>
          <t>Bergvik skog väst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64628-2019</t>
        </is>
      </c>
      <c r="B1904" s="1" t="n">
        <v>43798</v>
      </c>
      <c r="C1904" s="1" t="n">
        <v>45706</v>
      </c>
      <c r="D1904" t="inlineStr">
        <is>
          <t>DALARNAS LÄN</t>
        </is>
      </c>
      <c r="E1904" t="inlineStr">
        <is>
          <t>LUDVIKA</t>
        </is>
      </c>
      <c r="F1904" t="inlineStr">
        <is>
          <t>Bergvik skog väst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64757-2019</t>
        </is>
      </c>
      <c r="B1905" s="1" t="n">
        <v>43801</v>
      </c>
      <c r="C1905" s="1" t="n">
        <v>45706</v>
      </c>
      <c r="D1905" t="inlineStr">
        <is>
          <t>DALARNAS LÄN</t>
        </is>
      </c>
      <c r="E1905" t="inlineStr">
        <is>
          <t>SÄTER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64775-2019</t>
        </is>
      </c>
      <c r="B1906" s="1" t="n">
        <v>43801</v>
      </c>
      <c r="C1906" s="1" t="n">
        <v>45706</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64832-2019</t>
        </is>
      </c>
      <c r="B1907" s="1" t="n">
        <v>43801</v>
      </c>
      <c r="C1907" s="1" t="n">
        <v>45706</v>
      </c>
      <c r="D1907" t="inlineStr">
        <is>
          <t>DALARNAS LÄN</t>
        </is>
      </c>
      <c r="E1907" t="inlineStr">
        <is>
          <t>VANSBRO</t>
        </is>
      </c>
      <c r="F1907" t="inlineStr">
        <is>
          <t>Bergvik skog öst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64906-2019</t>
        </is>
      </c>
      <c r="B1908" s="1" t="n">
        <v>43801</v>
      </c>
      <c r="C1908" s="1" t="n">
        <v>45706</v>
      </c>
      <c r="D1908" t="inlineStr">
        <is>
          <t>DALARNAS LÄN</t>
        </is>
      </c>
      <c r="E1908" t="inlineStr">
        <is>
          <t>FALUN</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c r="U1908">
        <f>HYPERLINK("https://klasma.github.io/Logging_2080/knärot/A 64906-2019 karta knärot.png", "A 64906-2019")</f>
        <v/>
      </c>
      <c r="V1908">
        <f>HYPERLINK("https://klasma.github.io/Logging_2080/klagomål/A 64906-2019 FSC-klagomål.docx", "A 64906-2019")</f>
        <v/>
      </c>
      <c r="W1908">
        <f>HYPERLINK("https://klasma.github.io/Logging_2080/klagomålsmail/A 64906-2019 FSC-klagomål mail.docx", "A 64906-2019")</f>
        <v/>
      </c>
      <c r="X1908">
        <f>HYPERLINK("https://klasma.github.io/Logging_2080/tillsyn/A 64906-2019 tillsynsbegäran.docx", "A 64906-2019")</f>
        <v/>
      </c>
      <c r="Y1908">
        <f>HYPERLINK("https://klasma.github.io/Logging_2080/tillsynsmail/A 64906-2019 tillsynsbegäran mail.docx", "A 64906-2019")</f>
        <v/>
      </c>
    </row>
    <row r="1909" ht="15" customHeight="1">
      <c r="A1909" t="inlineStr">
        <is>
          <t>A 64961-2019</t>
        </is>
      </c>
      <c r="B1909" s="1" t="n">
        <v>43801</v>
      </c>
      <c r="C1909" s="1" t="n">
        <v>45706</v>
      </c>
      <c r="D1909" t="inlineStr">
        <is>
          <t>DALARNAS LÄN</t>
        </is>
      </c>
      <c r="E1909" t="inlineStr">
        <is>
          <t>LUDVIKA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66137-2019</t>
        </is>
      </c>
      <c r="B1910" s="1" t="n">
        <v>43801</v>
      </c>
      <c r="C1910" s="1" t="n">
        <v>45706</v>
      </c>
      <c r="D1910" t="inlineStr">
        <is>
          <t>DALARNAS LÄN</t>
        </is>
      </c>
      <c r="E1910" t="inlineStr">
        <is>
          <t>SÄTER</t>
        </is>
      </c>
      <c r="F1910" t="inlineStr">
        <is>
          <t>Bergvik skog väst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65090-2019</t>
        </is>
      </c>
      <c r="B1911" s="1" t="n">
        <v>43802</v>
      </c>
      <c r="C1911" s="1" t="n">
        <v>45706</v>
      </c>
      <c r="D1911" t="inlineStr">
        <is>
          <t>DALARNAS LÄN</t>
        </is>
      </c>
      <c r="E1911" t="inlineStr">
        <is>
          <t>MORA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65118-2019</t>
        </is>
      </c>
      <c r="B1912" s="1" t="n">
        <v>43802</v>
      </c>
      <c r="C1912" s="1" t="n">
        <v>45706</v>
      </c>
      <c r="D1912" t="inlineStr">
        <is>
          <t>DALARNAS LÄN</t>
        </is>
      </c>
      <c r="E1912" t="inlineStr">
        <is>
          <t>GAGNEF</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65308-2019</t>
        </is>
      </c>
      <c r="B1913" s="1" t="n">
        <v>43802</v>
      </c>
      <c r="C1913" s="1" t="n">
        <v>45706</v>
      </c>
      <c r="D1913" t="inlineStr">
        <is>
          <t>DALARNAS LÄN</t>
        </is>
      </c>
      <c r="E1913" t="inlineStr">
        <is>
          <t>HEDEMORA</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65315-2019</t>
        </is>
      </c>
      <c r="B1914" s="1" t="n">
        <v>43802</v>
      </c>
      <c r="C1914" s="1" t="n">
        <v>45706</v>
      </c>
      <c r="D1914" t="inlineStr">
        <is>
          <t>DALARNAS LÄN</t>
        </is>
      </c>
      <c r="E1914" t="inlineStr">
        <is>
          <t>HEDEMORA</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65460-2019</t>
        </is>
      </c>
      <c r="B1915" s="1" t="n">
        <v>43803</v>
      </c>
      <c r="C1915" s="1" t="n">
        <v>45706</v>
      </c>
      <c r="D1915" t="inlineStr">
        <is>
          <t>DALARNAS LÄN</t>
        </is>
      </c>
      <c r="E1915" t="inlineStr">
        <is>
          <t>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66563-2019</t>
        </is>
      </c>
      <c r="B1916" s="1" t="n">
        <v>43803</v>
      </c>
      <c r="C1916" s="1" t="n">
        <v>45706</v>
      </c>
      <c r="D1916" t="inlineStr">
        <is>
          <t>DALARNAS LÄN</t>
        </is>
      </c>
      <c r="E1916" t="inlineStr">
        <is>
          <t>BORLÄNGE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65633-2019</t>
        </is>
      </c>
      <c r="B1917" s="1" t="n">
        <v>43804</v>
      </c>
      <c r="C1917" s="1" t="n">
        <v>45706</v>
      </c>
      <c r="D1917" t="inlineStr">
        <is>
          <t>DALARNAS LÄN</t>
        </is>
      </c>
      <c r="E1917" t="inlineStr">
        <is>
          <t>MORA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66771-2019</t>
        </is>
      </c>
      <c r="B1918" s="1" t="n">
        <v>43804</v>
      </c>
      <c r="C1918" s="1" t="n">
        <v>45706</v>
      </c>
      <c r="D1918" t="inlineStr">
        <is>
          <t>DALARNAS LÄN</t>
        </is>
      </c>
      <c r="E1918" t="inlineStr">
        <is>
          <t>RÄTTVIK</t>
        </is>
      </c>
      <c r="F1918" t="inlineStr">
        <is>
          <t>Övriga statliga verk och myndigheter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65871-2019</t>
        </is>
      </c>
      <c r="B1919" s="1" t="n">
        <v>43805</v>
      </c>
      <c r="C1919" s="1" t="n">
        <v>45706</v>
      </c>
      <c r="D1919" t="inlineStr">
        <is>
          <t>DALARNAS LÄN</t>
        </is>
      </c>
      <c r="E1919" t="inlineStr">
        <is>
          <t>AVESTA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65980-2019</t>
        </is>
      </c>
      <c r="B1920" s="1" t="n">
        <v>43805</v>
      </c>
      <c r="C1920" s="1" t="n">
        <v>45706</v>
      </c>
      <c r="D1920" t="inlineStr">
        <is>
          <t>DALARNAS LÄN</t>
        </is>
      </c>
      <c r="E1920" t="inlineStr">
        <is>
          <t>ÄLVDALEN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67053-2019</t>
        </is>
      </c>
      <c r="B1921" s="1" t="n">
        <v>43805</v>
      </c>
      <c r="C1921" s="1" t="n">
        <v>45706</v>
      </c>
      <c r="D1921" t="inlineStr">
        <is>
          <t>DALARNAS LÄN</t>
        </is>
      </c>
      <c r="E1921" t="inlineStr">
        <is>
          <t>RÄTTVIK</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67049-2019</t>
        </is>
      </c>
      <c r="B1922" s="1" t="n">
        <v>43805</v>
      </c>
      <c r="C1922" s="1" t="n">
        <v>45706</v>
      </c>
      <c r="D1922" t="inlineStr">
        <is>
          <t>DALARNAS LÄN</t>
        </is>
      </c>
      <c r="E1922" t="inlineStr">
        <is>
          <t>RÄTTVIK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66214-2019</t>
        </is>
      </c>
      <c r="B1923" s="1" t="n">
        <v>43808</v>
      </c>
      <c r="C1923" s="1" t="n">
        <v>45706</v>
      </c>
      <c r="D1923" t="inlineStr">
        <is>
          <t>DALARNAS LÄN</t>
        </is>
      </c>
      <c r="E1923" t="inlineStr">
        <is>
          <t>MORA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66159-2019</t>
        </is>
      </c>
      <c r="B1924" s="1" t="n">
        <v>43808</v>
      </c>
      <c r="C1924" s="1" t="n">
        <v>45706</v>
      </c>
      <c r="D1924" t="inlineStr">
        <is>
          <t>DALARNAS LÄN</t>
        </is>
      </c>
      <c r="E1924" t="inlineStr">
        <is>
          <t>BORLÄNGE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66288-2019</t>
        </is>
      </c>
      <c r="B1925" s="1" t="n">
        <v>43808</v>
      </c>
      <c r="C1925" s="1" t="n">
        <v>45706</v>
      </c>
      <c r="D1925" t="inlineStr">
        <is>
          <t>DALARNAS LÄN</t>
        </is>
      </c>
      <c r="E1925" t="inlineStr">
        <is>
          <t>LEKSAND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66716-2019</t>
        </is>
      </c>
      <c r="B1926" s="1" t="n">
        <v>43809</v>
      </c>
      <c r="C1926" s="1" t="n">
        <v>45706</v>
      </c>
      <c r="D1926" t="inlineStr">
        <is>
          <t>DALARNAS LÄN</t>
        </is>
      </c>
      <c r="E1926" t="inlineStr">
        <is>
          <t>GAGNEF</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66721-2019</t>
        </is>
      </c>
      <c r="B1927" s="1" t="n">
        <v>43810</v>
      </c>
      <c r="C1927" s="1" t="n">
        <v>45706</v>
      </c>
      <c r="D1927" t="inlineStr">
        <is>
          <t>DALARNAS LÄN</t>
        </is>
      </c>
      <c r="E1927" t="inlineStr">
        <is>
          <t>AVESTA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66873-2019</t>
        </is>
      </c>
      <c r="B1928" s="1" t="n">
        <v>43810</v>
      </c>
      <c r="C1928" s="1" t="n">
        <v>45706</v>
      </c>
      <c r="D1928" t="inlineStr">
        <is>
          <t>DALARNAS LÄN</t>
        </is>
      </c>
      <c r="E1928" t="inlineStr">
        <is>
          <t>MORA</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66822-2019</t>
        </is>
      </c>
      <c r="B1929" s="1" t="n">
        <v>43810</v>
      </c>
      <c r="C1929" s="1" t="n">
        <v>45706</v>
      </c>
      <c r="D1929" t="inlineStr">
        <is>
          <t>DALARNAS LÄN</t>
        </is>
      </c>
      <c r="E1929" t="inlineStr">
        <is>
          <t>LEKSAND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66868-2019</t>
        </is>
      </c>
      <c r="B1930" s="1" t="n">
        <v>43810</v>
      </c>
      <c r="C1930" s="1" t="n">
        <v>45706</v>
      </c>
      <c r="D1930" t="inlineStr">
        <is>
          <t>DALARNAS LÄN</t>
        </is>
      </c>
      <c r="E1930" t="inlineStr">
        <is>
          <t>MORA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66878-2019</t>
        </is>
      </c>
      <c r="B1931" s="1" t="n">
        <v>43810</v>
      </c>
      <c r="C1931" s="1" t="n">
        <v>45706</v>
      </c>
      <c r="D1931" t="inlineStr">
        <is>
          <t>DALARNAS LÄN</t>
        </is>
      </c>
      <c r="E1931" t="inlineStr">
        <is>
          <t>MORA</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67884-2019</t>
        </is>
      </c>
      <c r="B1932" s="1" t="n">
        <v>43810</v>
      </c>
      <c r="C1932" s="1" t="n">
        <v>45706</v>
      </c>
      <c r="D1932" t="inlineStr">
        <is>
          <t>DALARNAS LÄN</t>
        </is>
      </c>
      <c r="E1932" t="inlineStr">
        <is>
          <t>ORSA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66862-2019</t>
        </is>
      </c>
      <c r="B1933" s="1" t="n">
        <v>43810</v>
      </c>
      <c r="C1933" s="1" t="n">
        <v>45706</v>
      </c>
      <c r="D1933" t="inlineStr">
        <is>
          <t>DALARNAS LÄN</t>
        </is>
      </c>
      <c r="E1933" t="inlineStr">
        <is>
          <t>ORSA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67123-2019</t>
        </is>
      </c>
      <c r="B1934" s="1" t="n">
        <v>43811</v>
      </c>
      <c r="C1934" s="1" t="n">
        <v>45706</v>
      </c>
      <c r="D1934" t="inlineStr">
        <is>
          <t>DALARNAS LÄN</t>
        </is>
      </c>
      <c r="E1934" t="inlineStr">
        <is>
          <t>LEKSAND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67948-2019</t>
        </is>
      </c>
      <c r="B1935" s="1" t="n">
        <v>43811</v>
      </c>
      <c r="C1935" s="1" t="n">
        <v>45706</v>
      </c>
      <c r="D1935" t="inlineStr">
        <is>
          <t>DALARNAS LÄN</t>
        </is>
      </c>
      <c r="E1935" t="inlineStr">
        <is>
          <t>GAGNEF</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67991-2019</t>
        </is>
      </c>
      <c r="B1936" s="1" t="n">
        <v>43811</v>
      </c>
      <c r="C1936" s="1" t="n">
        <v>45706</v>
      </c>
      <c r="D1936" t="inlineStr">
        <is>
          <t>DALARNAS LÄN</t>
        </is>
      </c>
      <c r="E1936" t="inlineStr">
        <is>
          <t>SMEDJEBACKEN</t>
        </is>
      </c>
      <c r="F1936" t="inlineStr">
        <is>
          <t>Bergvik skog väst AB</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45706</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45706</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45706</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45706</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45706</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45706</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45706</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45706</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45706</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45706</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45706</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45706</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45706</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45706</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45706</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45706</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45706</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45706</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45706</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45706</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45706</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45706</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45706</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45706</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45706</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45706</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45706</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45706</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45706</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45706</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45706</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45706</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45706</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45706</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45706</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45706</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45706</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45706</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45706</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45706</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45706</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45706</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45706</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45706</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45706</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45706</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45706</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45706</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45706</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45706</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45706</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45706</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45706</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45706</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45706</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45706</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45706</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45706</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45706</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45706</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45706</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45706</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45706</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45706</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45706</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45706</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45706</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45706</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45706</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45706</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45706</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45706</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45706</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45706</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45706</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45706</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45706</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45706</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45706</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45706</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45706</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45706</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45706</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45706</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45706</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45706</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45706</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45706</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45706</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45706</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45706</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45706</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45706</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45706</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45706</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45706</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45706</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45706</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45706</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45706</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45706</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45706</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45706</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45706</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45706</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45706</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45706</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45706</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45706</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45706</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45706</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45706</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45706</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45706</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45706</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45706</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45706</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45706</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45706</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45706</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45706</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45706</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45706</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45706</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45706</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45706</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45706</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45706</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45706</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45706</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45706</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45706</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45706</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45706</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45706</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45706</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45706</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45706</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45706</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45706</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45706</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45706</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45706</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45706</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45706</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45706</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45706</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45706</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45706</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45706</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45706</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45706</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45706</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45706</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45706</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45706</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45706</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45706</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45706</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45706</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45706</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45706</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45706</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45706</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45706</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45706</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45706</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45706</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45706</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45706</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45706</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45706</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45706</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45706</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45706</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45706</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45706</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45706</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45706</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45706</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45706</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45706</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45706</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45706</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45706</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45706</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45706</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45706</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45706</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45706</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45706</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45706</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45706</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45706</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45706</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45706</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45706</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45706</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45706</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45706</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45706</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45706</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45706</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45706</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45706</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45706</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45706</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45706</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45706</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45706</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45706</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45706</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45706</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45706</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45706</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45706</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45706</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45706</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45706</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45706</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45706</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45706</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45706</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45706</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45706</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45706</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45706</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45706</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45706</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45706</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45706</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45706</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45706</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45706</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45706</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45706</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45706</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45706</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45706</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45706</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45706</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45706</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45706</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45706</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45706</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45706</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45706</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45706</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45706</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45706</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45706</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45706</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45706</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45706</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45706</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45706</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45706</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45706</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45706</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45706</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45706</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45706</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45706</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45706</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45706</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45706</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45706</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45706</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45706</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45706</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45706</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45706</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45706</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45706</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45706</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45706</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45706</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45706</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45706</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45706</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45706</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45706</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45706</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45706</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45706</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45706</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45706</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45706</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45706</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45706</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45706</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45706</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45706</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45706</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45706</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45706</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45706</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45706</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45706</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45706</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45706</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45706</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45706</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45706</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45706</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45706</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45706</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45706</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45706</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45706</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45706</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45706</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45706</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45706</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45706</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45706</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45706</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45706</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45706</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45706</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45706</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45706</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45706</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45706</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45706</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45706</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45706</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45706</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45706</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45706</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45706</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45706</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45706</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45706</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45706</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45706</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45706</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45706</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45706</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45706</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45706</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45706</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45706</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45706</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45706</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45706</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45706</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45706</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45706</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45706</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45706</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45706</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45706</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45706</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45706</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45706</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45706</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45706</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45706</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45706</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45706</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45706</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45706</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45706</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45706</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45706</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45706</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45706</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45706</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45706</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45706</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45706</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45706</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45706</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45706</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45706</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45706</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45706</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45706</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45706</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45706</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45706</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45706</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45706</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45706</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45706</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45706</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45706</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45706</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45706</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45706</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45706</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45706</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45706</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45706</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45706</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45706</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45706</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45706</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45706</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45706</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45706</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45706</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45706</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45706</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45706</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45706</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45706</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45706</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45706</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45706</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45706</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45706</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45706</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45706</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45706</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45706</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45706</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45706</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45706</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45706</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45706</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45706</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45706</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45706</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45706</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45706</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45706</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45706</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45706</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45706</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45706</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45706</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45706</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45706</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45706</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45706</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45706</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45706</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45706</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45706</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45706</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45706</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45706</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45706</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45706</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45706</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45706</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45706</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45706</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45706</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45706</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45706</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45706</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45706</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45706</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45706</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45706</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45706</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45706</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45706</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45706</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45706</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45706</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45706</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45706</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45706</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45706</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45706</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45706</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45706</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45706</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45706</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45706</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45706</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45706</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45706</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45706</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45706</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45706</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45706</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45706</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45706</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45706</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45706</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45706</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45706</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45706</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45706</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45706</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45706</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45706</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45706</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45706</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45706</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45706</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45706</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45706</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45706</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45706</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45706</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45706</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45706</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45706</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45706</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45706</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45706</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45706</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45706</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45706</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45706</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45706</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45706</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45706</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45706</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45706</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45706</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45706</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45706</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45706</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45706</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45706</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45706</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45706</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45706</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45706</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45706</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45706</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45706</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45706</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45706</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45706</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45706</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45706</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45706</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45706</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45706</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45706</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45706</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45706</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45706</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45706</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45706</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45706</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45706</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45706</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45706</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45706</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45706</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45706</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45706</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45706</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45706</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45706</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45706</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45706</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45706</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45706</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45706</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45706</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45706</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45706</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45706</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45706</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45706</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45706</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45706</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45706</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45706</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45706</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45706</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45706</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45706</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45706</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45706</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45706</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45706</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45706</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45706</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45706</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45706</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45706</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45706</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45706</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45706</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45706</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45706</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45706</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45706</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45706</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45706</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45706</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45706</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45706</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45706</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45706</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45706</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45706</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45706</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45706</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45706</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45706</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45706</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45706</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45706</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45706</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45706</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45706</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45706</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45706</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45706</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45706</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45706</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45706</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45706</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45706</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45706</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45706</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45706</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45706</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45706</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45706</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45706</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45706</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45706</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45706</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45706</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45706</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45706</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45706</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45706</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45706</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45706</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45706</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45706</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45706</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45706</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45706</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45706</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45706</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45706</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45706</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45706</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45706</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45706</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45706</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45706</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45706</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45706</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45706</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45706</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45706</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45706</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45706</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45706</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45706</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45706</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45706</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45706</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45706</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45706</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45706</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45706</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45706</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45706</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45706</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45706</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45706</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45706</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45706</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45706</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45706</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45706</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45706</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45706</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45706</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45706</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45706</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45706</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45706</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45706</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45706</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45706</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45706</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45706</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45706</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45706</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45706</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45706</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45706</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45706</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45706</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45706</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45706</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45706</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45706</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45706</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45706</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45706</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45706</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45706</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45706</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45706</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45706</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45706</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45706</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45706</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45706</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45706</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45706</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45706</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45706</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45706</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45706</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45706</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45706</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45706</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45706</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45706</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45706</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45706</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45706</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45706</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45706</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45706</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45706</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45706</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45706</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45706</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45706</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45706</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45706</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45706</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45706</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45706</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45706</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45706</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45706</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45706</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45706</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45706</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45706</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45706</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45706</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45706</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45706</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45706</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45706</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45706</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45706</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45706</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45706</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45706</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45706</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45706</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45706</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45706</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45706</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45706</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45706</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45706</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45706</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45706</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45706</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45706</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45706</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45706</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45706</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45706</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45706</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45706</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45706</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45706</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45706</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45706</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45706</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45706</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45706</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45706</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45706</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45706</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45706</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45706</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45706</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45706</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45706</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45706</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45706</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45706</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45706</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45706</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45706</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45706</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45706</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45706</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45706</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45706</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45706</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45706</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45706</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45706</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45706</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45706</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45706</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45706</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45706</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45706</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45706</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45706</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45706</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45706</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45706</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45706</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45706</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45706</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45706</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45706</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45706</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45706</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45706</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45706</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45706</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45706</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45706</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45706</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45706</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45706</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45706</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45706</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45706</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45706</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45706</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45706</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45706</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45706</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45706</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45706</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45706</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45706</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45706</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45706</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45706</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45706</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45706</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45706</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45706</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45706</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45706</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45706</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45706</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45706</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45706</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45706</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45706</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45706</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45706</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45706</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45706</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45706</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45706</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45706</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45706</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45706</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45706</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45706</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45706</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45706</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45706</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45706</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45706</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45706</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45706</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45706</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45706</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45706</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45706</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45706</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45706</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45706</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45706</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45706</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45706</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45706</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45706</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45706</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45706</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45706</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45706</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45706</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45706</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45706</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45706</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45706</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45706</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45706</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45706</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45706</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45706</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45706</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45706</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45706</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45706</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45706</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45706</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45706</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45706</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45706</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45706</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45706</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45706</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45706</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45706</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45706</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45706</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45706</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45706</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45706</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45706</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45706</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45706</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45706</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45706</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45706</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45706</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45706</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45706</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45706</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45706</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45706</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45706</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45706</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45706</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45706</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45706</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45706</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45706</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45706</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45706</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45706</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45706</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45706</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45706</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45706</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45706</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45706</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45706</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45706</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45706</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45706</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45706</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45706</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45706</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45706</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45706</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45706</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45706</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45706</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45706</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45706</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45706</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45706</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45706</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45706</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45706</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45706</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45706</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45706</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45706</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45706</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45706</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45706</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45706</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45706</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45706</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45706</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45706</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45706</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45706</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45706</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45706</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45706</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45706</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45706</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45706</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45706</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45706</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45706</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45706</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45706</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45706</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45706</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45706</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45706</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45706</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45706</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45706</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45706</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45706</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45706</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45706</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45706</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45706</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45706</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45706</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45706</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45706</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45706</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45706</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45706</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45706</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45706</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45706</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45706</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45706</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45706</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45706</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45706</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45706</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45706</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45706</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45706</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45706</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45706</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45706</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45706</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45706</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45706</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45706</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45706</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45706</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45706</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45706</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45706</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45706</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45706</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45706</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45706</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45706</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45706</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45706</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45706</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45706</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45706</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45706</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45706</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45706</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45706</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45706</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45706</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45706</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45706</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45706</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45706</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45706</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45706</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45706</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45706</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45706</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45706</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45706</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45706</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45706</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45706</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45706</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45706</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45706</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45706</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45706</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45706</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45706</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45706</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45706</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45706</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45706</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45706</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45706</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45706</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45706</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45706</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45706</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45706</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45706</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45706</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45706</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45706</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45706</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45706</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45706</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45706</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45706</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45706</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45706</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45706</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45706</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45706</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45706</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45706</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45706</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45706</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45706</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45706</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45706</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45706</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45706</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45706</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45706</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45706</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45706</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45706</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45706</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45706</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45706</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45706</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45706</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45706</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45706</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45706</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45706</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45706</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45706</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45706</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45706</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45706</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45706</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45706</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45706</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45706</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45706</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45706</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45706</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45706</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45706</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45706</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45706</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45706</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45706</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45706</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45706</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45706</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45706</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45706</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45706</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45706</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45706</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45706</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45706</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45706</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45706</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45706</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45706</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45706</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45706</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45706</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45706</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45706</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45706</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45706</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45706</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45706</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45706</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45706</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45706</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45706</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45706</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45706</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45706</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45706</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45706</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45706</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45706</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45706</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45706</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45706</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45706</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45706</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45706</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45706</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45706</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45706</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45706</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45706</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45706</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45706</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45706</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45706</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45706</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45706</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45706</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45706</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45706</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45706</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45706</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45706</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45706</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45706</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45706</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45706</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45706</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45706</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45706</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45706</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45706</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45706</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45706</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45706</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45706</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45706</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45706</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45706</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45706</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45706</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45706</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45706</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45706</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45706</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45706</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45706</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45706</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45706</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45706</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45706</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45706</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45706</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45706</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45706</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45706</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45706</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45706</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45706</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45706</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45706</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45706</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45706</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45706</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45706</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45706</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45706</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45706</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45706</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45706</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45706</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45706</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45706</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45706</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45706</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45706</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45706</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45706</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45706</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45706</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45706</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45706</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45706</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45706</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45706</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45706</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45706</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45706</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45706</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45706</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45706</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45706</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45706</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45706</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45706</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45706</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45706</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45706</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45706</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45706</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45706</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45706</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45706</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45706</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45706</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45706</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45706</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45706</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45706</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45706</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45706</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45706</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45706</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45706</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45706</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45706</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45706</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45706</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45706</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45706</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45706</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45706</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45706</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45706</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45706</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45706</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45706</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45706</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45706</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45706</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45706</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45706</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45706</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45706</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45706</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45706</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45706</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45706</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45706</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45706</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45706</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45706</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45706</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45706</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45706</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45706</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45706</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45706</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45706</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45706</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45706</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45706</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45706</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45706</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45706</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45706</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45706</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45706</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45706</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45706</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45706</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45706</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45706</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45706</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45706</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45706</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45706</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45706</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45706</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45706</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45706</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45706</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45706</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45706</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45706</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45706</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45706</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45706</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45706</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45706</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45706</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45706</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45706</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45706</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45706</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45706</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45706</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45706</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45706</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45706</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45706</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45706</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45706</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45706</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45706</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45706</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45706</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45706</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45706</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45706</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45706</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45706</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45706</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45706</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45706</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45706</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45706</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45706</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45706</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45706</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45706</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45706</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45706</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45706</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45706</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45706</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45706</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45706</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45706</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45706</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45706</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45706</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45706</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45706</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45706</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45706</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45706</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45706</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45706</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45706</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45706</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45706</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45706</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45706</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45706</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45706</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45706</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45706</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45706</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45706</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45706</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45706</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45706</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45706</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45706</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45706</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45706</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45706</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45706</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45706</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45706</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45706</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45706</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45706</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45706</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45706</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45706</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45706</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45706</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45706</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45706</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45706</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45706</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45706</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45706</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45706</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45706</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45706</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45706</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45706</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45706</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45706</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45706</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45706</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45706</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45706</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45706</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45706</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45706</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45706</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45706</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45706</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45706</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45706</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45706</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45706</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45706</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45706</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45706</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45706</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45706</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45706</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45706</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45706</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45706</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45706</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45706</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45706</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45706</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45706</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45706</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45706</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45706</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45706</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45706</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45706</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45706</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45706</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45706</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45706</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45706</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45706</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45706</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45706</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45706</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45706</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45706</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45706</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45706</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45706</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45706</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45706</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45706</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45706</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45706</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45706</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45706</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45706</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45706</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45706</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45706</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45706</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45706</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45706</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45706</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45706</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45706</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45706</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45706</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45706</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45706</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45706</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45706</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45706</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45706</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45706</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45706</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45706</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45706</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45706</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45706</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45706</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45706</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45706</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45706</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45706</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45706</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45706</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45706</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45706</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45706</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45706</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45706</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45706</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45706</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45706</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45706</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45706</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45706</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45706</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45706</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45706</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45706</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45706</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45706</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45706</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45706</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45706</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45706</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45706</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45706</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45706</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45706</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45706</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45706</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45706</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45706</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45706</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45706</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45706</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45706</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45706</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45706</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45706</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45706</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45706</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45706</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45706</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45706</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45706</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45706</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45706</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45706</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45706</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45706</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45706</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45706</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45706</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45706</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45706</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45706</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45706</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45706</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45706</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45706</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45706</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45706</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45706</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45706</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45706</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45706</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45706</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45706</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45706</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45706</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45706</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45706</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45706</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45706</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45706</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45706</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45706</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45706</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45706</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45706</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45706</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45706</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45706</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45706</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45706</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45706</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45706</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45706</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45706</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45706</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45706</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45706</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45706</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45706</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45706</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45706</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45706</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45706</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45706</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45706</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45706</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45706</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45706</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45706</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45706</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45706</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45706</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45706</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45706</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45706</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45706</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45706</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45706</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45706</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45706</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45706</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45706</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45706</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45706</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45706</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45706</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45706</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45706</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45706</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45706</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45706</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45706</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45706</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45706</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45706</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45706</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45706</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45706</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45706</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45706</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45706</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45706</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45706</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45706</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45706</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45706</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45706</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45706</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45706</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45706</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45706</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45706</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45706</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45706</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45706</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45706</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45706</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45706</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45706</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45706</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45706</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45706</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45706</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45706</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45706</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45706</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45706</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45706</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45706</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45706</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45706</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45706</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45706</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45706</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45706</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45706</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45706</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45706</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45706</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45706</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45706</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45706</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45706</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45706</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45706</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45706</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45706</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45706</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45706</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45706</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45706</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45706</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45706</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45706</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45706</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45706</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45706</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45706</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45706</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45706</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45706</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45706</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45706</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45706</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45706</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45706</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45706</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45706</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45706</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45706</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45706</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45706</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45706</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45706</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45706</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45706</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45706</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45706</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45706</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45706</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45706</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45706</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45706</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45706</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45706</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45706</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45706</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45706</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45706</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45706</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45706</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45706</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45706</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45706</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45706</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45706</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45706</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45706</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45706</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45706</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45706</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45706</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45706</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45706</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45706</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45706</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45706</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45706</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45706</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45706</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45706</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45706</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45706</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45706</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45706</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45706</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45706</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45706</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45706</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45706</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45706</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45706</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45706</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45706</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45706</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45706</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45706</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45706</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45706</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45706</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45706</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45706</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45706</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45706</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45706</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45706</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45706</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45706</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45706</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45706</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45706</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45706</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45706</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45706</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45706</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45706</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45706</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45706</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45706</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45706</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45706</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45706</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45706</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45706</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45706</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45706</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45706</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45706</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45706</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45706</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45706</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45706</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45706</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45706</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45706</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45706</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45706</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45706</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45706</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45706</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45706</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45706</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45706</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45706</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45706</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45706</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45706</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45706</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45706</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45706</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45706</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45706</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45706</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45706</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45706</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45706</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45706</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45706</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45706</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45706</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45706</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45706</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45706</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45706</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45706</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45706</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45706</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45706</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45706</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45706</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45706</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45706</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45706</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45706</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45706</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45706</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45706</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45706</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45706</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45706</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45706</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45706</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45706</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45706</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45706</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45706</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45706</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45706</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45706</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45706</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45706</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45706</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45706</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45706</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45706</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45706</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45706</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45706</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45706</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45706</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45706</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45706</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45706</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45706</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45706</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45706</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45706</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45706</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45706</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45706</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45706</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45706</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45706</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45706</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45706</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45706</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45706</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45706</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45706</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45706</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45706</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45706</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45706</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45706</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45706</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45706</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45706</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45706</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45706</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45706</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45706</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45706</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45706</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45706</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45706</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45706</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45706</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45706</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45706</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45706</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45706</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45706</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45706</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45706</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45706</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45706</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45706</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45706</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45706</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45706</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45706</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45706</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45706</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45706</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45706</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45706</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45706</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45706</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45706</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45706</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45706</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45706</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45706</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45706</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45706</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45706</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45706</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45706</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45706</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45706</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45706</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45706</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45706</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45706</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45706</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45706</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45706</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45706</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45706</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45706</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45706</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45706</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45706</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45706</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45706</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45706</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45706</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45706</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45706</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45706</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45706</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45706</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45706</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45706</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45706</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45706</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45706</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45706</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45706</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45706</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45706</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45706</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45706</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45706</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45706</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45706</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45706</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45706</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45706</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45706</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45706</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45706</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45706</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45706</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45706</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45706</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45706</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45706</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45706</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45706</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45706</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45706</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45706</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45706</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45706</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45706</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45706</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45706</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45706</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45706</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45706</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45706</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45706</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45706</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45706</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45706</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45706</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45706</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45706</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45706</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45706</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45706</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45706</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45706</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45706</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45706</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45706</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45706</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45706</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45706</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45706</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45706</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45706</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45706</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45706</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45706</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45706</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45706</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45706</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45706</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45706</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45706</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45706</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45706</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45706</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45706</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45706</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45706</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45706</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45706</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45706</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45706</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45706</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45706</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45706</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45706</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45706</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45706</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45706</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45706</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45706</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45706</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45706</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45706</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45706</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45706</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45706</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45706</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45706</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45706</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45706</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45706</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45706</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45706</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45706</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45706</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45706</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45706</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45706</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45706</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45706</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45706</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45706</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45706</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45706</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45706</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45706</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45706</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45706</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45706</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45706</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45706</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45706</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45706</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45706</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45706</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45706</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45706</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45706</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45706</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45706</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45706</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45706</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45706</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45706</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45706</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45706</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45706</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45706</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45706</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45706</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45706</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45706</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45706</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45706</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45706</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45706</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45706</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45706</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45706</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45706</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45706</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45706</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45706</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45706</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45706</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45706</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45706</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45706</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45706</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45706</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45706</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45706</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45706</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45706</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45706</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45706</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45706</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45706</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45706</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45706</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45706</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45706</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45706</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45706</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45706</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45706</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45706</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45706</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45706</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45706</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45706</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45706</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45706</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45706</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45706</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45706</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45706</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45706</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45706</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45706</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45706</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45706</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45706</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45706</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45706</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45706</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45706</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45706</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45706</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45706</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45706</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45706</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45706</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45706</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45706</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45706</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45706</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45706</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45706</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45706</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45706</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45706</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45706</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45706</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45706</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45706</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45706</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45706</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45706</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45706</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45706</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45706</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45706</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45706</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45706</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45706</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45706</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45706</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45706</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45706</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45706</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45706</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45706</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45706</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45706</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45706</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45706</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45706</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45706</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45706</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45706</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45706</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45706</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45706</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45706</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45706</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45706</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45706</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45706</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45706</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45706</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45706</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45706</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45706</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45706</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45706</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45706</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45706</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45706</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45706</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45706</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45706</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45706</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45706</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45706</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45706</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45706</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45706</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45706</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45706</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45706</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45706</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45706</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45706</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45706</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45706</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45706</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45706</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45706</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45706</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45706</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45706</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45706</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45706</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45706</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45706</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45706</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45706</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45706</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45706</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45706</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45706</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45706</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45706</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45706</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45706</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45706</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45706</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45706</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45706</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45706</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45706</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45706</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45706</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45706</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45706</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45706</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45706</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45706</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45706</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45706</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45706</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45706</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45706</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45706</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45706</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45706</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45706</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45706</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45706</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45706</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45706</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45706</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45706</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45706</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45706</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45706</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45706</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45706</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45706</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45706</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45706</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45706</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45706</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45706</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45706</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45706</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45706</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45706</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45706</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45706</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45706</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45706</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45706</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45706</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45706</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45706</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45706</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45706</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45706</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45706</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45706</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45706</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45706</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45706</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45706</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45706</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45706</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45706</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45706</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45706</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45706</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45706</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45706</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45706</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45706</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45706</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45706</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45706</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45706</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45706</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45706</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45706</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45706</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45706</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45706</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45706</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45706</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45706</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45706</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45706</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45706</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45706</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45706</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45706</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45706</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45706</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45706</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45706</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45706</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45706</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45706</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45706</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45706</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45706</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45706</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45706</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45706</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45706</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45706</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45706</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45706</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45706</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45706</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45706</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45706</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45706</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45706</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45706</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45706</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45706</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45706</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45706</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45706</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45706</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45706</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45706</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45706</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45706</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45706</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45706</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45706</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45706</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45706</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45706</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45706</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45706</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45706</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45706</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45706</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45706</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45706</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45706</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45706</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45706</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45706</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45706</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45706</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45706</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45706</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45706</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45706</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45706</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45706</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45706</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45706</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45706</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45706</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45706</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45706</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45706</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45706</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45706</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45706</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45706</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45706</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45706</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45706</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45706</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45706</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45706</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45706</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45706</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45706</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45706</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45706</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45706</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45706</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45706</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45706</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45706</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45706</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45706</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45706</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45706</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45706</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45706</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45706</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45706</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45706</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45706</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45706</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45706</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45706</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45706</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45706</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45706</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45706</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45706</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45706</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45706</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45706</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45706</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45706</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45706</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45706</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45706</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45706</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45706</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45706</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45706</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45706</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45706</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45706</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45706</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45706</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45706</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45706</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45706</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45706</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45706</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45706</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45706</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45706</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45706</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45706</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45706</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45706</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45706</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45706</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45706</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45706</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45706</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45706</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45706</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45706</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45706</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45706</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45706</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45706</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45706</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45706</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45706</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45706</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45706</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45706</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45706</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45706</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45706</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45706</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45706</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45706</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45706</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45706</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45706</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45706</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45706</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45706</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45706</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45706</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45706</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45706</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45706</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45706</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45706</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45706</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45706</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45706</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45706</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45706</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45706</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45706</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45706</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45706</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45706</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45706</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45706</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45706</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45706</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45706</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45706</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45706</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45706</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45706</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45706</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45706</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45706</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45706</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45706</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45706</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45706</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45706</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45706</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45706</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45706</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45706</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45706</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45706</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45706</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45706</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45706</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45706</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45706</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45706</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45706</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45706</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45706</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45706</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45706</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45706</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45706</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45706</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45706</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45706</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45706</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45706</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45706</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45706</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45706</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45706</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45706</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45706</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45706</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45706</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45706</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45706</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45706</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45706</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45706</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45706</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45706</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45706</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45706</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45706</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45706</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45706</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45706</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45706</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45706</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45706</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45706</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45706</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45706</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45706</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45706</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45706</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45706</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45706</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45706</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45706</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45706</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45706</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45706</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45706</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45706</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45706</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45706</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45706</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45706</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45706</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45706</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45706</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45706</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45706</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45706</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45706</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45706</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45706</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45706</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45706</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45706</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45706</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45706</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45706</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45706</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45706</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45706</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45706</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45706</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45706</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45706</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45706</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45706</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45706</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45706</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45706</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45706</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45706</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45706</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45706</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45706</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45706</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45706</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45706</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45706</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45706</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45706</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45706</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45706</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45706</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45706</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45706</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45706</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45706</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45706</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45706</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45706</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45706</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45706</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45706</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45706</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45706</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45706</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45706</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45706</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45706</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45706</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45706</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45706</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45706</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45706</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45706</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45706</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45706</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45706</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45706</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45706</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45706</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45706</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45706</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45706</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45706</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45706</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45706</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45706</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45706</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45706</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45706</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45706</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45706</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45706</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45706</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45706</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45706</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45706</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45706</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45706</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45706</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45706</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45706</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45706</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45706</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45706</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45706</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45706</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45706</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45706</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45706</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45706</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45706</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45706</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45706</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45706</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45706</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45706</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45706</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45706</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45706</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45706</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45706</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45706</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45706</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45706</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45706</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45706</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45706</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45706</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45706</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45706</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45706</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45706</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45706</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45706</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45706</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45706</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45706</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45706</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45706</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45706</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45706</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45706</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45706</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45706</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45706</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45706</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45706</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45706</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45706</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45706</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45706</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45706</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45706</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45706</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45706</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45706</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45706</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45706</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45706</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45706</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45706</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45706</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45706</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45706</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45706</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45706</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45706</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45706</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45706</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45706</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45706</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45706</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45706</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45706</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45706</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45706</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45706</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45706</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45706</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45706</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45706</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45706</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45706</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45706</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45706</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45706</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45706</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45706</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45706</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45706</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45706</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45706</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45706</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45706</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45706</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45706</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45706</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45706</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45706</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45706</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45706</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45706</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45706</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45706</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45706</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45706</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45706</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45706</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45706</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45706</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45706</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45706</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45706</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45706</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45706</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45706</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45706</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45706</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45706</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45706</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45706</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45706</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45706</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45706</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45706</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45706</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45706</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45706</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45706</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45706</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45706</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45706</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45706</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45706</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45706</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45706</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45706</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45706</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45706</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45706</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45706</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45706</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45706</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45706</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45706</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45706</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45706</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45706</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45706</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45706</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45706</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45706</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45706</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45706</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45706</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45706</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45706</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45706</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45706</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45706</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45706</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45706</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45706</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45706</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45706</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45706</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45706</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45706</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45706</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45706</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45706</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45706</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45706</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45706</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45706</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45706</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45706</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45706</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45706</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45706</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45706</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45706</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45706</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45706</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45706</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45706</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45706</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45706</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45706</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45706</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45706</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45706</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45706</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45706</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45706</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45706</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45706</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45706</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45706</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45706</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45706</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45706</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45706</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45706</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45706</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45706</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45706</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45706</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45706</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45706</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45706</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45706</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45706</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45706</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45706</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45706</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45706</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45706</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45706</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45706</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45706</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45706</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45706</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45706</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45706</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45706</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45706</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45706</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45706</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45706</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45706</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45706</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45706</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45706</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45706</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45706</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45706</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45706</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45706</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45706</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45706</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45706</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45706</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45706</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45706</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45706</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45706</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45706</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45706</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45706</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45706</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45706</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45706</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45706</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45706</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45706</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45706</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45706</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45706</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45706</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45706</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45706</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45706</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45706</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45706</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45706</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45706</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45706</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45706</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45706</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45706</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45706</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45706</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45706</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45706</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45706</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45706</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45706</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45706</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45706</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45706</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45706</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45706</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45706</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45706</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45706</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45706</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45706</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45706</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45706</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45706</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45706</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45706</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45706</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45706</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45706</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45706</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45706</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45706</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45706</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45706</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45706</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45706</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45706</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45706</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45706</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45706</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45706</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45706</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45706</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45706</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45706</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45706</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45706</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45706</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45706</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45706</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45706</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45706</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45706</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45706</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45706</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45706</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45706</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45706</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45706</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45706</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45706</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45706</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45706</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45706</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45706</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45706</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45706</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45706</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45706</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45706</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45706</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45706</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45706</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45706</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45706</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45706</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45706</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45706</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45706</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45706</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45706</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45706</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45706</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45706</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45706</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45706</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45706</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45706</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45706</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45706</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45706</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45706</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45706</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45706</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45706</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45706</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45706</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45706</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45706</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45706</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45706</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45706</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45706</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45706</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45706</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45706</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45706</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45706</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45706</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45706</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45706</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45706</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45706</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45706</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45706</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45706</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45706</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45706</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45706</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45706</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45706</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45706</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45706</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45706</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45706</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45706</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45706</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45706</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45706</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45706</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45706</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45706</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45706</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45706</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45706</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45706</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45706</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45706</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45706</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45706</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45706</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45706</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45706</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45706</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45706</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45706</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45706</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45706</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45706</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45706</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45706</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45706</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45706</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45706</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45706</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45706</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45706</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45706</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45706</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45706</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45706</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45706</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45706</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45706</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45706</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45706</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45706</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45706</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45706</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45706</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45706</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45706</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45706</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45706</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45706</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45706</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45706</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45706</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45706</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45706</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45706</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45706</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45706</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45706</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45706</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45706</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45706</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45706</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45706</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45706</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45706</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45706</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45706</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45706</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45706</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45706</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45706</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45706</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45706</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45706</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45706</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45706</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45706</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45706</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45706</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45706</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45706</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45706</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45706</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45706</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45706</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45706</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45706</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45706</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45706</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45706</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45706</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45706</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45706</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45706</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45706</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45706</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45706</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45706</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45706</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45706</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45706</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45706</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45706</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45706</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45706</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45706</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45706</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45706</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45706</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45706</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45706</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45706</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45706</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45706</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45706</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45706</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45706</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45706</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45706</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45706</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45706</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45706</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45706</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45706</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45706</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45706</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45706</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45706</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45706</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45706</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45706</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45706</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45706</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45706</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45706</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45706</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45706</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45706</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45706</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45706</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45706</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45706</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45706</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45706</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45706</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45706</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45706</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45706</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45706</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45706</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45706</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45706</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45706</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45706</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45706</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45706</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45706</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45706</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45706</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45706</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45706</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45706</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45706</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45706</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45706</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45706</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45706</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45706</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45706</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45706</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45706</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45706</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45706</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45706</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45706</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45706</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45706</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45706</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45706</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45706</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45706</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45706</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45706</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45706</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45706</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45706</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45706</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45706</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45706</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45706</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45706</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45706</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45706</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45706</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45706</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45706</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45706</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45706</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45706</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45706</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45706</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45706</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45706</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45706</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45706</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45706</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45706</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45706</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45706</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45706</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45706</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45706</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45706</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45706</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45706</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45706</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45706</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45706</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45706</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45706</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45706</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45706</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45706</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45706</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45706</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45706</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45706</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45706</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45706</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45706</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45706</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45706</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45706</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45706</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45706</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45706</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45706</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45706</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45706</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45706</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45706</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45706</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45706</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45706</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45706</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45706</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45706</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45706</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45706</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45706</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45706</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45706</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45706</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45706</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45706</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45706</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45706</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45706</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45706</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45706</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45706</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45706</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45706</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45706</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45706</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45706</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45706</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45706</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45706</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45706</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45706</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45706</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45706</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45706</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45706</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45706</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45706</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45706</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45706</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45706</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45706</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45706</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45706</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45706</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45706</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45706</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45706</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45706</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45706</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45706</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45706</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45706</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45706</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45706</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45706</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45706</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45706</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45706</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45706</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45706</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45706</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45706</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45706</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45706</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45706</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45706</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45706</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45706</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45706</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45706</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45706</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45706</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45706</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45706</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45706</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45706</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45706</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45706</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45706</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45706</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45706</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45706</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45706</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45706</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45706</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45706</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45706</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45706</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45706</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45706</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45706</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45706</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45706</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45706</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45706</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45706</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45706</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45706</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45706</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45706</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45706</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45706</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45706</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45706</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45706</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45706</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45706</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45706</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45706</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45706</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45706</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45706</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45706</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45706</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45706</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45706</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45706</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45706</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45706</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45706</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45706</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45706</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45706</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45706</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45706</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45706</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45706</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45706</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45706</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45706</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45706</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45706</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45706</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45706</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45706</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45706</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45706</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45706</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45706</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45706</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45706</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45706</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45706</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45706</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45706</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45706</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45706</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45706</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45706</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45706</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45706</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45706</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45706</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45706</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45706</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45706</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45706</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45706</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45706</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45706</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45706</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45706</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45706</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45706</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45706</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45706</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45706</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45706</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45706</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45706</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45706</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45706</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45706</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45706</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45706</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45706</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45706</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45706</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45706</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45706</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45706</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45706</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45706</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45706</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45706</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45706</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45706</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45706</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45706</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45706</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45706</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45706</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45706</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45706</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45706</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45706</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45706</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45706</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45706</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45706</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45706</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45706</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45706</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45706</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45706</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45706</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45706</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45706</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45706</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45706</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45706</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45706</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45706</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45706</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45706</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45706</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45706</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45706</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45706</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45706</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45706</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45706</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45706</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45706</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45706</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45706</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45706</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45706</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45706</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45706</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45706</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45706</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45706</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45706</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45706</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45706</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45706</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45706</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45706</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45706</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45706</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45706</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45706</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45706</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45706</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45706</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45706</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45706</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45706</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45706</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45706</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45706</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45706</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45706</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45706</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45706</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45706</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45706</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45706</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45706</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45706</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45706</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45706</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45706</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45706</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45706</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45706</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45706</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45706</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45706</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45706</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45706</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45706</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45706</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45706</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45706</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45706</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45706</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45706</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45706</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45706</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45706</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45706</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45706</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45706</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45706</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45706</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45706</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45706</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45706</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45706</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45706</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45706</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45706</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45706</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45706</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45706</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45706</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45706</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45706</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45706</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45706</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45706</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45706</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45706</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45706</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45706</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45706</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45706</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45706</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45706</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45706</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45706</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45706</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45706</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45706</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45706</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45706</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45706</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45706</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45706</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45706</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45706</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45706</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45706</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45706</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45706</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45706</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45706</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45706</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45706</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45706</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45706</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45706</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45706</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45706</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45706</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45706</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45706</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45706</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45706</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45706</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45706</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45706</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45706</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45706</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45706</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45706</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45706</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45706</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45706</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45706</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45706</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45706</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45706</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45706</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45706</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45706</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45706</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45706</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45706</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45706</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45706</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45706</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45706</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45706</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45706</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45706</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45706</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45706</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45706</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45706</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45706</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45706</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45706</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45706</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45706</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45706</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45706</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45706</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45706</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45706</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45706</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45706</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45706</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45706</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45706</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45706</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45706</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45706</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45706</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45706</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45706</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45706</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45706</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45706</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45706</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45706</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45706</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45706</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45706</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45706</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45706</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45706</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45706</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45706</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45706</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45706</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45706</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45706</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45706</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45706</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45706</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45706</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45706</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45706</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45706</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45706</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45706</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45706</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45706</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45706</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45706</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45706</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45706</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45706</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45706</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45706</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45706</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45706</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45706</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45706</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45706</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45706</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45706</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45706</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45706</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45706</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45706</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45706</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45706</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45706</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45706</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45706</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45706</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45706</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45706</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45706</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45706</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45706</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45706</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45706</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45706</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45706</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45706</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45706</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45706</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45706</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45706</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45706</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45706</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45706</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45706</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45706</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45706</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45706</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45706</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45706</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45706</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45706</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45706</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45706</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45706</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45706</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45706</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45706</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45706</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45706</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45706</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45706</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45706</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45706</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45706</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45706</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45706</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45706</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45706</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45706</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45706</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45706</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45706</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45706</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45706</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45706</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45706</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45706</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45706</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45706</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45706</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45706</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45706</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45706</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45706</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45706</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45706</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45706</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45706</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45706</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45706</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45706</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45706</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45706</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45706</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45706</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45706</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45706</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45706</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45706</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45706</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45706</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45706</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45706</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45706</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45706</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45706</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45706</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45706</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45706</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45706</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45706</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45706</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45706</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45706</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45706</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45706</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45706</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45706</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45706</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45706</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45706</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45706</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45706</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45706</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45706</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45706</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45706</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45706</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45706</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45706</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45706</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45706</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45706</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45706</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45706</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45706</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45706</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45706</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45706</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45706</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45706</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45706</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45706</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45706</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45706</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45706</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45706</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45706</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45706</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45706</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45706</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45706</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45706</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45706</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45706</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45706</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45706</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45706</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45706</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45706</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45706</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45706</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45706</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45706</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45706</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45706</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45706</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45706</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45706</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45706</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45706</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45706</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45706</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45706</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45706</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45706</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45706</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45706</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45706</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45706</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45706</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45706</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45706</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45706</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45706</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45706</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45706</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45706</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45706</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45706</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45706</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45706</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45706</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45706</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45706</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45706</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45706</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45706</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45706</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45706</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45706</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45706</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45706</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45706</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45706</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45706</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45706</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45706</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45706</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45706</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45706</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45706</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45706</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45706</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45706</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45706</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45706</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45706</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45706</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45706</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45706</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45706</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45706</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45706</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45706</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45706</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45706</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45706</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45706</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45706</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45706</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45706</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45706</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45706</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45706</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45706</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45706</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45706</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45706</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45706</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45706</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45706</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45706</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45706</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45706</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45706</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45706</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45706</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45706</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45706</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45706</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45706</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45706</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45706</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45706</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45706</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45706</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45706</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45706</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45706</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45706</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45706</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45706</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45706</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45706</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45706</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45706</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45706</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45706</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45706</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45706</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45706</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45706</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45706</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45706</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45706</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45706</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45706</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45706</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45706</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45706</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45706</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45706</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45706</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45706</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45706</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45706</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45706</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45706</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45706</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45706</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45706</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45706</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45706</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45706</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45706</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45706</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45706</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45706</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45706</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45706</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45706</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45706</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45706</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45706</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45706</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45706</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45706</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45706</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45706</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45706</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45706</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45706</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45706</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45706</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45706</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45706</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45706</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45706</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45706</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45706</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45706</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45706</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45706</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45706</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45706</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45706</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45706</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45706</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45706</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45706</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45706</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45706</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45706</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45706</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45706</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45706</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45706</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45706</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45706</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45706</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45706</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45706</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45706</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45706</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45706</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45706</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45706</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45706</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45706</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45706</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45706</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45706</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45706</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45706</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45706</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45706</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45706</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45706</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45706</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45706</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45706</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45706</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45706</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45706</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45706</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45706</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45706</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45706</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45706</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45706</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45706</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45706</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45706</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45706</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45706</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45706</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45706</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45706</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45706</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45706</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45706</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45706</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45706</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45706</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45706</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45706</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45706</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45706</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45706</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45706</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45706</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45706</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45706</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45706</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45706</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45706</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45706</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45706</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45706</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45706</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45706</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45706</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45706</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45706</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45706</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45706</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45706</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45706</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45706</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45706</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45706</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45706</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45706</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45706</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45706</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45706</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45706</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45706</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45706</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45706</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45706</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45706</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45706</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45706</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45706</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45706</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45706</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45706</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45706</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45706</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45706</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45706</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45706</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45706</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45706</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45706</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45706</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45706</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45706</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45706</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45706</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45706</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45706</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45706</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45706</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45706</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45706</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45706</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45706</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45706</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45706</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45706</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45706</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45706</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45706</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45706</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45706</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45706</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45706</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45706</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45706</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45706</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45706</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45706</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45706</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45706</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45706</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45706</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45706</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45706</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45706</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45706</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45706</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45706</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45706</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45706</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45706</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45706</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45706</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45706</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45706</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45706</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45706</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45706</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45706</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45706</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45706</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45706</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45706</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45706</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45706</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45706</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45706</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45706</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45706</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45706</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45706</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45706</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45706</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45706</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45706</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45706</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45706</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45706</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45706</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45706</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45706</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45706</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45706</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45706</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45706</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45706</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45706</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45706</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45706</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45706</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45706</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45706</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45706</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45706</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45706</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45706</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45706</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45706</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45706</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45706</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45706</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45706</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45706</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45706</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45706</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45706</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45706</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45706</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45706</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45706</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45706</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45706</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45706</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45706</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45706</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45706</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45706</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45706</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45706</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45706</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45706</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45706</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45706</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45706</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45706</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45706</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45706</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45706</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45706</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45706</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45706</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45706</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45706</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45706</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45706</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45706</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45706</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45706</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45706</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45706</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45706</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45706</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45706</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45706</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45706</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45706</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45706</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45706</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45706</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45706</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45706</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45706</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45706</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45706</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45706</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45706</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45706</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45706</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45706</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45706</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45706</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45706</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45706</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45706</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45706</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45706</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45706</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45706</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45706</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45706</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45706</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45706</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45706</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45706</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45706</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45706</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45706</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45706</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45706</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45706</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45706</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45706</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45706</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45706</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45706</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45706</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45706</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45706</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45706</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45706</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45706</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45706</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45706</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45706</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45706</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45706</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45706</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45706</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45706</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45706</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45706</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45706</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45706</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45706</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45706</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45706</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45706</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45706</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45706</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45706</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45706</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45706</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45706</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45706</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45706</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45706</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45706</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45706</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45706</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45706</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45706</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45706</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45706</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45706</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45706</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45706</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45706</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45706</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45706</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45706</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45706</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45706</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45706</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45706</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45706</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45706</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45706</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45706</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45706</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45706</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45706</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45706</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45706</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45706</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45706</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45706</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45706</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45706</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45706</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45706</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45706</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45706</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45706</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45706</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45706</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45706</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45706</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45706</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45706</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45706</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45706</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45706</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45706</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45706</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45706</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45706</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45706</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45706</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45706</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45706</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45706</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45706</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45706</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45706</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45706</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45706</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45706</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45706</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45706</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45706</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45706</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45706</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45706</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45706</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45706</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45706</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45706</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45706</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45706</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45706</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45706</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45706</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45706</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45706</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45706</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45706</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45706</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45706</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45706</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45706</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45706</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45706</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45706</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45706</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45706</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45706</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45706</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45706</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45706</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45706</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45706</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45706</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45706</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45706</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45706</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45706</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45706</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45706</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45706</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45706</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45706</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45706</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45706</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45706</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45706</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45706</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45706</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45706</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45706</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45706</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45706</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45706</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45706</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45706</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45706</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45706</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45706</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45706</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45706</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45706</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45706</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45706</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45706</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45706</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45706</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45706</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45706</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45706</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45706</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45706</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45706</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45706</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45706</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45706</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45706</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45706</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45706</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45706</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45706</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45706</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45706</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45706</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45706</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45706</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45706</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45706</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45706</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45706</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45706</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45706</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45706</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45706</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45706</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45706</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45706</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45706</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45706</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45706</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45706</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45706</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45706</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45706</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45706</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45706</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45706</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45706</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45706</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45706</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45706</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45706</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45706</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45706</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45706</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45706</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45706</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45706</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45706</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45706</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45706</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45706</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45706</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45706</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45706</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45706</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45706</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45706</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45706</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45706</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45706</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45706</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45706</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45706</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45706</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45706</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45706</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45706</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45706</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45706</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45706</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45706</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45706</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45706</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45706</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45706</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45706</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45706</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45706</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45706</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45706</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45706</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45706</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45706</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45706</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45706</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45706</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45706</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45706</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45706</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45706</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45706</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45706</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45706</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45706</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45706</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45706</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45706</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45706</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45706</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45706</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45706</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45706</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45706</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45706</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45706</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45706</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45706</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45706</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45706</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45706</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45706</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45706</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45706</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45706</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45706</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45706</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45706</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45706</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45706</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45706</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45706</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45706</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45706</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45706</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45706</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45706</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45706</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45706</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45706</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45706</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45706</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45706</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45706</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45706</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45706</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45706</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45706</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45706</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45706</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45706</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45706</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45706</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45706</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45706</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45706</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45706</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45706</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45706</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45706</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45706</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45706</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45706</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45706</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45706</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45706</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45706</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45706</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45706</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45706</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45706</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45706</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45706</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45706</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45706</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45706</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45706</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45706</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45706</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45706</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45706</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45706</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45706</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45706</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45706</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45706</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45706</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45706</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45706</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45706</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45706</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45706</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45706</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45706</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45706</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45706</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45706</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45706</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45706</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45706</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45706</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45706</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45706</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45706</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45706</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45706</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45706</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45706</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45706</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45706</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45706</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45706</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45706</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45706</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45706</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45706</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45706</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45706</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45706</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45706</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45706</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45706</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45706</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45706</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45706</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45706</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45706</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45706</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45706</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45706</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45706</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45706</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45706</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45706</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45706</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45706</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45706</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45706</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45706</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45706</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45706</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45706</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45706</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45706</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45706</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45706</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45706</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45706</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45706</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45706</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45706</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45706</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45706</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45706</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45706</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45706</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45706</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45706</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45706</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45706</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45706</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45706</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45706</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45706</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45706</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45706</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45706</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45706</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45706</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45706</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45706</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45706</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45706</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45706</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45706</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45706</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45706</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45706</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45706</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45706</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45706</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45706</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45706</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45706</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45706</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45706</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45706</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45706</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45706</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45706</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45706</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45706</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45706</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45706</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45706</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45706</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45706</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45706</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45706</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45706</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45706</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45706</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45706</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45706</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45706</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45706</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45706</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45706</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45706</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45706</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45706</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45706</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45706</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45706</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45706</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45706</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45706</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45706</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45706</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45706</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45706</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45706</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45706</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45706</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45706</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45706</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45706</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45706</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45706</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45706</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45706</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45706</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45706</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45706</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45706</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45706</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45706</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45706</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45706</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45706</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45706</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45706</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45706</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45706</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45706</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45706</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45706</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45706</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45706</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45706</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45706</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45706</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45706</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45706</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45706</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45706</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45706</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45706</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45706</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45706</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45706</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45706</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45706</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45706</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45706</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45706</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45706</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45706</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45706</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45706</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45706</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45706</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45706</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45706</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45706</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45706</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45706</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45706</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45706</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45706</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45706</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45706</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45706</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45706</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45706</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45706</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45706</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45706</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45706</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45706</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45706</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45706</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45706</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45706</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45706</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45706</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45706</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45706</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45706</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45706</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45706</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45706</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45706</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45706</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45706</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45706</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45706</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45706</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45706</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45706</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45706</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45706</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45706</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45706</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45706</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45706</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45706</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45706</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45706</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45706</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45706</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45706</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45706</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45706</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45706</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45706</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45706</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45706</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45706</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45706</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45706</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45706</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45706</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45706</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45706</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45706</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45706</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45706</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45706</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45706</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45706</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45706</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45706</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45706</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45706</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45706</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45706</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45706</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45706</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45706</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45706</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45706</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45706</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45706</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45706</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45706</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45706</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45706</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45706</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45706</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45706</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45706</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45706</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45706</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45706</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45706</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45706</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45706</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45706</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45706</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45706</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45706</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45706</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45706</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45706</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45706</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45706</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45706</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45706</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45706</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45706</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45706</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45706</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45706</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45706</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45706</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45706</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45706</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45706</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45706</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45706</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45706</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45706</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45706</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45706</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45706</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45706</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45706</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45706</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45706</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45706</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45706</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45706</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45706</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45706</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45706</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45706</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45706</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45706</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45706</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45706</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45706</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45706</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45706</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45706</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45706</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45706</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45706</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45706</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45706</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45706</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45706</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45706</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45706</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45706</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45706</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45706</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45706</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45706</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45706</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45706</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45706</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45706</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45706</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45706</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45706</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45706</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45706</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45706</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45706</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45706</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45706</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45706</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45706</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45706</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45706</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45706</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45706</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45706</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45706</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45706</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45706</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45706</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45706</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45706</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45706</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45706</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45706</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45706</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45706</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45706</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45706</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45706</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45706</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45706</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45706</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45706</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45706</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45706</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45706</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45706</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45706</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45706</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45706</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45706</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45706</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45706</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45706</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45706</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45706</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45706</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45706</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45706</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45706</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45706</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45706</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45706</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45706</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45706</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45706</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45706</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45706</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45706</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45706</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45706</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45706</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45706</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45706</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45706</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45706</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45706</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45706</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45706</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45706</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45706</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45706</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45706</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45706</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45706</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45706</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45706</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45706</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45706</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45706</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45706</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45706</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45706</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45706</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45706</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45706</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45706</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45706</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45706</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45706</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45706</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45706</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45706</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45706</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45706</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45706</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45706</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45706</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45706</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45706</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45706</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45706</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45706</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45706</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45706</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45706</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45706</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45706</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45706</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45706</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45706</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45706</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45706</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45706</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45706</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45706</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45706</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45706</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45706</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45706</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45706</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45706</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45706</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45706</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45706</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45706</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45706</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45706</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45706</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45706</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45706</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45706</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45706</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45706</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45706</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45706</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45706</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45706</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45706</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45706</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45706</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45706</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45706</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45706</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45706</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45706</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45706</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45706</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45706</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45706</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45706</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45706</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45706</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45706</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45706</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45706</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45706</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45706</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45706</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45706</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45706</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45706</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45706</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45706</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45706</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45706</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45706</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45706</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45706</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45706</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45706</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45706</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45706</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45706</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45706</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45706</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45706</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45706</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45706</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45706</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45706</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45706</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45706</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45706</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45706</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45706</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45706</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45706</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45706</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45706</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45706</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45706</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45706</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45706</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45706</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45706</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45706</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45706</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45706</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45706</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45706</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45706</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45706</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45706</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45706</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45706</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45706</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45706</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45706</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45706</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45706</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45706</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45706</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45706</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45706</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45706</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45706</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45706</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45706</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45706</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45706</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45706</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45706</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45706</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45706</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45706</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45706</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45706</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45706</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45706</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45706</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45706</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45706</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45706</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45706</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45706</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45706</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45706</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45706</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45706</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45706</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45706</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45706</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45706</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45706</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45706</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45706</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45706</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45706</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45706</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45706</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45706</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45706</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45706</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45706</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45706</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45706</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45706</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45706</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45706</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45706</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45706</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45706</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45706</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45706</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45706</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45706</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45706</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45706</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45706</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45706</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45706</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45706</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45706</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45706</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45706</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45706</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45706</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45706</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45706</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45706</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45706</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45706</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45706</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45706</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45706</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45706</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45706</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45706</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45706</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45706</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45706</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45706</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45706</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45706</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45706</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45706</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45706</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45706</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45706</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45706</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45706</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45706</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45706</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45706</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45706</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45706</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45706</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45706</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45706</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45706</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45706</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45706</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45706</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45706</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45706</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45706</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45706</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45706</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45706</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45706</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45706</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45706</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45706</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45706</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45706</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45706</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45706</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45706</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45706</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45706</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45706</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45706</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45706</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45706</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45706</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45706</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45706</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45706</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45706</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45706</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45706</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45706</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45706</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45706</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45706</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45706</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45706</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45706</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45706</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45706</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45706</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45706</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45706</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45706</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45706</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45706</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45706</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45706</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45706</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45706</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45706</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45706</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45706</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45706</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45706</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45706</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45706</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45706</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45706</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45706</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45706</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45706</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45706</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45706</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45706</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45706</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45706</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45706</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45706</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45706</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45706</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45706</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45706</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45706</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45706</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45706</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45706</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45706</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45706</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45706</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45706</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45706</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45706</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45706</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45706</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45706</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45706</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45706</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45706</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45706</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45706</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45706</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45706</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45706</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45706</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45706</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45706</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45706</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45706</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45706</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45706</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45706</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45706</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45706</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45706</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45706</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45706</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45706</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45706</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45706</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45706</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45706</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45706</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45706</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45706</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45706</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45706</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45706</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45706</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45706</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45706</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45706</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45706</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45706</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45706</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45706</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45706</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45706</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45706</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45706</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45706</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45706</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45706</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45706</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45706</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45706</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45706</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45706</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45706</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45706</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45706</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45706</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45706</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45706</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45706</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45706</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45706</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45706</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45706</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45706</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45706</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45706</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45706</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45706</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45706</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45706</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45706</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45706</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45706</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45706</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45706</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45706</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45706</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45706</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45706</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45706</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45706</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45706</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45706</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45706</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45706</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45706</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45706</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45706</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45706</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45706</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45706</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45706</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45706</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45706</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45706</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45706</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45706</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45706</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45706</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45706</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45706</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45706</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45706</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45706</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45706</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45706</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45706</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45706</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45706</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45706</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45706</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45706</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45706</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45706</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45706</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45706</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45706</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45706</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45706</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45706</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45706</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45706</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45706</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45706</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45706</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45706</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45706</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45706</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45706</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45706</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45706</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45706</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45706</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45706</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45706</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45706</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45706</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45706</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45706</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45706</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45706</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45706</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45706</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45706</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45706</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45706</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45706</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45706</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45706</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45706</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45706</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45706</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45706</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45706</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45706</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45706</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45706</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45706</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45706</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45706</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45706</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45706</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45706</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45706</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45706</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45706</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45706</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45706</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45706</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45706</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45706</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45706</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45706</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45706</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45706</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45706</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45706</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45706</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45706</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45706</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45706</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45706</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45706</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45706</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45706</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45706</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45706</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45706</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45706</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45706</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45706</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45706</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45706</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45706</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45706</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45706</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45706</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45706</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45706</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45706</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45706</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45706</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45706</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45706</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45706</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45706</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45706</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45706</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45706</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45706</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45706</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45706</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45706</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45706</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45706</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45706</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45706</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45706</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45706</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45706</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45706</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45706</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45706</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45706</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45706</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45706</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45706</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45706</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45706</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45706</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45706</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45706</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45706</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45706</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45706</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45706</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45706</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45706</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45706</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45706</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45706</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45706</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45706</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45706</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45706</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45706</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45706</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45706</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45706</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45706</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45706</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45706</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45706</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45706</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45706</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45706</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45706</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45706</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45706</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45706</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45706</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45706</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45706</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45706</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45706</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45706</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45706</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45706</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45706</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45706</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45706</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45706</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45706</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45706</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45706</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45706</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45706</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45706</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45706</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45706</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45706</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45706</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45706</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45706</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45706</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45706</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45706</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45706</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45706</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45706</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45706</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45706</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45706</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45706</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45706</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45706</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45706</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45706</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45706</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45706</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45706</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45706</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45706</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45706</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45706</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45706</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45706</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45706</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45706</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45706</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45706</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45706</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45706</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45706</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45706</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45706</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45706</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45706</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45706</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45706</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45706</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45706</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45706</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45706</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45706</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45706</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45706</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45706</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45706</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45706</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45706</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45706</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45706</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45706</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45706</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45706</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45706</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45706</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45706</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45706</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45706</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45706</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45706</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45706</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45706</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45706</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45706</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45706</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45706</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45706</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45706</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45706</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45706</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45706</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45706</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45706</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45706</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45706</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45706</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45706</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45706</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45706</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45706</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45706</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45706</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45706</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45706</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45706</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45706</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45706</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45706</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45706</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45706</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45706</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45706</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45706</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45706</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45706</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45706</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45706</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45706</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45706</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45706</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45706</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45706</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45706</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45706</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45706</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45706</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45706</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45706</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45706</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45706</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45706</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45706</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45706</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45706</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45706</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45706</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45706</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45706</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45706</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45706</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45706</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45706</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45706</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45706</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45706</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45706</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45706</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45706</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45706</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45706</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45706</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45706</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45706</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45706</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45706</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45706</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45706</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45706</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45706</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45706</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45706</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45706</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45706</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45706</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45706</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45706</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45706</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45706</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45706</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45706</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45706</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45706</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45706</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45706</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45706</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45706</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45706</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45706</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45706</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45706</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45706</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45706</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45706</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45706</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45706</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45706</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45706</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45706</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45706</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45706</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45706</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45706</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45706</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45706</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45706</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45706</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45706</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45706</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45706</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45706</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45706</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45706</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45706</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45706</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45706</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45706</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45706</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45706</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45706</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45706</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45706</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45706</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45706</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45706</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45706</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45706</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45706</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45706</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45706</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45706</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45706</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45706</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45706</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45706</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45706</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45706</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45706</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45706</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45706</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45706</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45706</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45706</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45706</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45706</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45706</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45706</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45706</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45706</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45706</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45706</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45706</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45706</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45706</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45706</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45706</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45706</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45706</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45706</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45706</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45706</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45706</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45706</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45706</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45706</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45706</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45706</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45706</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45706</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45706</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45706</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45706</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45706</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45706</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45706</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45706</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45706</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45706</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45706</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45706</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45706</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45706</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45706</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45706</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45706</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45706</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45706</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45706</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45706</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45706</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45706</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45706</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45706</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45706</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45706</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45706</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45706</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45706</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45706</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45706</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45706</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45706</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45706</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45706</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45706</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45706</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45706</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45706</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45706</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45706</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45706</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45706</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45706</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45706</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45706</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45706</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45706</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45706</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45706</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45706</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45706</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45706</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45706</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45706</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45706</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45706</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45706</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45706</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45706</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45706</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45706</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45706</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45706</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45706</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45706</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45706</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45706</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45706</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45706</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45706</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45706</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45706</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45706</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45706</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45706</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45706</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45706</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45706</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45706</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45706</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45706</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45706</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45706</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45706</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45706</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45706</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45706</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45706</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45706</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45706</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45706</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45706</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45706</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45706</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45706</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45706</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45706</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45706</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45706</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45706</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45706</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45706</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45706</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45706</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45706</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45706</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45706</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45706</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45706</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45706</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45706</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45706</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45706</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45706</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45706</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45706</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45706</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45706</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45706</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45706</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45706</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45706</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45706</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45706</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45706</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45706</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45706</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45706</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45706</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45706</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45706</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45706</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45706</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45706</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45706</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45706</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45706</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45706</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45706</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45706</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45706</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45706</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45706</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45706</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45706</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45706</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45706</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45706</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45706</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45706</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45706</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45706</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45706</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45706</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45706</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45706</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45706</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45706</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45706</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45706</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45706</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45706</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45706</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45706</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45706</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45706</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45706</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45706</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45706</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45706</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45706</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45706</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45706</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45706</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45706</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45706</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45706</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45706</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45706</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45706</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45706</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45706</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45706</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45706</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45706</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45706</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45706</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45706</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45706</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45706</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45706</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45706</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45706</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45706</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45706</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45706</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45706</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45706</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45706</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45706</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45706</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45706</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45706</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45706</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45706</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45706</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45706</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45706</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45706</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45706</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45706</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45706</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45706</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45706</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45706</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45706</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45706</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45706</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45706</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45706</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45706</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45706</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45706</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45706</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45706</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45706</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45706</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45706</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45706</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45706</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45706</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45706</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45706</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45706</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45706</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45706</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45706</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45706</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45706</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45706</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45706</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45706</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45706</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45706</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45706</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45706</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45706</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45706</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45706</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45706</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45706</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45706</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45706</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45706</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45706</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45706</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45706</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45706</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45706</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45706</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45706</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45706</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45706</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45706</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45706</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45706</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45706</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45706</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45706</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45706</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45706</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45706</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45706</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45706</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45706</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45706</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45706</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45706</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45706</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45706</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45706</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45706</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45706</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45706</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45706</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45706</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45706</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45706</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45706</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45706</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45706</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45706</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45706</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45706</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45706</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45706</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45706</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45706</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45706</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45706</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45706</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45706</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45706</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45706</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45706</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45706</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45706</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45706</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45706</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45706</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45706</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45706</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45706</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45706</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45706</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45706</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45706</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45706</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45706</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45706</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45706</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45706</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45706</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45706</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45706</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45706</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45706</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45706</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45706</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45706</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45706</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45706</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45706</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45706</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45706</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45706</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45706</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45706</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45706</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45706</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45706</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45706</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45706</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45706</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45706</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45706</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45706</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45706</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45706</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45706</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45706</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45706</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45706</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45706</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45706</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45706</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45706</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45706</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45706</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45706</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45706</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45706</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45706</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45706</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45706</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45706</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45706</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45706</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45706</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45706</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45706</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45706</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45706</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45706</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45706</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45706</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45706</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45706</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45706</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45706</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45706</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45706</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45706</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45706</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45706</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45706</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45706</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45706</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45706</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45706</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45706</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45706</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45706</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45706</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45706</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45706</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45706</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45706</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45706</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45706</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45706</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45706</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45706</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45706</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45706</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45706</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45706</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45706</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45706</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45706</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45706</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45706</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45706</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45706</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45706</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45706</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45706</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45706</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45706</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45706</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45706</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45706</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45706</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45706</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45706</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45706</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45706</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45706</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45706</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45706</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45706</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45706</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45706</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45706</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45706</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45706</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45706</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45706</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45706</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45706</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45706</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45706</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45706</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45706</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45706</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45706</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45706</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45706</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45706</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45706</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45706</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45706</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45706</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45706</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45706</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45706</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45706</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45706</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45706</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45706</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45706</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45706</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45706</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45706</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45706</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45706</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45706</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45706</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45706</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45706</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45706</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45706</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45706</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45706</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45706</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45706</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45706</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45706</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45706</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45706</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45706</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45706</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45706</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45706</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45706</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45706</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45706</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45706</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45706</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45706</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45706</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45706</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45706</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45706</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45706</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45706</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45706</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45706</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45706</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45706</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45706</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45706</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45706</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45706</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45706</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45706</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45706</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45706</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45706</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45706</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45706</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45706</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45706</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45706</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45706</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45706</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45706</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45706</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45706</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45706</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45706</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45706</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45706</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45706</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45706</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45706</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45706</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45706</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45706</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45706</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45706</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45706</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45706</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45706</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45706</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45706</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45706</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45706</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45706</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45706</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45706</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45706</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45706</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45706</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45706</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45706</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45706</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45706</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45706</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45706</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45706</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45706</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45706</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45706</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45706</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45706</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45706</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45706</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45706</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45706</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45706</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45706</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45706</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45706</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45706</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45706</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45706</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45706</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45706</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45706</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45706</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45706</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45706</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45706</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45706</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45706</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45706</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45706</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45706</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45706</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45706</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45706</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45706</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45706</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45706</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45706</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45706</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45706</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45706</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45706</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45706</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45706</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45706</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45706</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45706</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45706</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45706</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45706</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45706</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45706</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45706</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45706</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45706</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45706</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45706</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45706</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45706</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45706</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45706</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45706</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45706</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45706</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45706</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45706</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45706</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45706</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45706</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45706</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45706</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45706</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45706</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45706</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45706</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45706</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45706</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45706</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45706</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45706</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45706</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45706</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45706</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45706</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45706</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45706</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45706</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45706</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45706</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45706</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45706</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45706</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45706</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45706</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45706</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45706</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45706</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45706</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45706</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45706</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45706</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45706</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45706</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45706</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45706</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45706</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45706</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45706</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45706</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45706</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45706</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45706</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45706</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45706</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45706</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45706</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45706</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45706</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45706</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45706</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45706</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45706</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45706</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45706</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45706</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45706</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45706</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45706</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45706</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45706</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45706</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45706</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45706</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45706</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45706</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45706</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45706</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45706</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45706</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45706</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45706</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45706</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45706</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45706</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45706</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45706</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45706</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45706</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45706</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45706</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45706</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45706</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45706</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45706</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45706</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45706</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45706</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45706</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45706</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45706</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45706</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45706</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45706</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45706</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45706</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45706</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45706</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45706</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45706</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45706</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45706</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45706</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45706</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45706</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45706</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45706</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45706</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45706</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45706</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45706</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45706</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45706</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45706</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45706</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45706</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45706</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45706</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45706</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45706</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45706</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45706</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45706</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45706</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45706</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45706</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45706</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45706</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45706</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45706</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45706</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45706</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45706</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45706</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45706</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45706</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45706</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45706</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45706</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45706</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45706</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45706</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45706</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45706</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45706</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45706</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45706</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45706</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45706</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45706</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45706</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45706</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45706</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45706</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45706</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45706</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45706</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45706</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45706</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45706</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45706</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45706</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45706</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45706</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45706</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45706</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45706</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45706</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45706</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45706</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45706</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45706</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45706</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45706</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45706</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45706</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45706</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45706</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45706</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45706</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45706</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45706</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45706</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45706</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45706</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45706</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45706</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45706</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45706</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45706</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45706</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45706</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45706</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45706</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45706</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45706</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45706</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45706</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45706</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45706</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45706</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45706</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45706</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45706</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45706</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45706</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45706</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45706</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45706</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45706</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45706</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45706</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45706</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45706</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45706</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45706</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45706</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45706</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45706</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45706</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45706</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45706</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45706</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45706</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45706</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45706</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45706</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45706</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45706</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45706</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45706</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45706</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45706</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45706</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45706</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45706</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45706</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45706</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45706</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45706</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45706</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45706</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45706</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45706</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45706</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45706</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45706</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45706</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45706</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45706</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45706</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45706</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45706</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45706</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45706</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45706</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45706</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45706</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45706</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45706</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45706</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45706</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45706</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45706</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45706</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45706</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45706</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45706</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45706</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45706</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45706</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45706</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45706</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45706</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45706</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45706</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45706</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45706</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45706</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45706</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45706</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45706</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45706</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45706</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45706</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45706</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45706</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45706</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45706</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45706</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45706</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45706</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45706</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45706</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45706</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45706</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45706</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45706</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45706</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45706</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45706</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45706</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45706</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45706</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45706</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45706</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45706</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45706</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45706</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45706</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45706</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45706</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45706</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45706</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45706</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45706</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45706</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45706</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45706</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45706</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45706</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45706</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45706</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45706</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45706</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45706</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45706</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45706</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45706</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45706</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45706</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45706</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45706</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45706</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45706</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45706</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45706</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45706</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45706</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45706</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45706</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45706</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45706</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45706</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45706</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45706</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45706</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45706</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45706</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45706</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45706</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45706</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45706</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45706</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45706</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45706</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45706</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45706</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45706</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45706</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45706</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45706</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45706</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45706</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45706</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45706</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45706</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45706</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45706</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45706</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45706</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45706</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45706</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45706</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45706</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45706</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45706</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45706</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45706</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45706</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45706</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45706</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45706</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45706</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45706</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45706</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45706</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45706</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45706</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45706</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45706</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45706</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45706</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45706</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45706</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45706</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45706</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45706</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45706</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45706</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45706</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45706</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45706</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45706</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45706</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45706</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45706</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45706</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45706</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45706</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45706</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45706</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45706</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45706</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45706</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45706</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45706</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45706</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45706</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45706</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45706</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45706</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45706</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45706</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45706</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45706</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45706</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45706</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45706</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45706</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45706</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45706</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45706</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45706</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45706</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45706</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45706</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45706</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45706</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45706</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45706</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45706</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45706</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45706</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45706</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45706</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45706</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45706</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45706</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45706</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45706</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45706</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45706</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45706</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45706</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45706</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45706</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45706</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45706</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45706</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45706</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45706</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45706</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45706</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45706</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45706</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45706</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45706</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45706</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45706</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45706</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45706</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45706</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45706</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45706</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45706</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45706</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45706</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45706</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45706</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45706</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45706</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45706</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45706</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45706</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45706</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45706</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45706</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45706</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45706</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45706</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45706</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45706</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45706</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45706</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45706</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45706</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45706</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45706</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45706</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45706</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45706</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45706</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45706</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45706</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45706</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45706</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45706</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45706</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45706</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45706</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45706</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45706</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45706</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45706</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45706</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45706</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45706</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45706</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45706</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45706</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45706</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45706</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45706</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45706</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45706</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45706</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45706</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45706</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45706</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45706</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45706</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45706</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45706</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45706</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45706</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45706</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45706</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45706</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45706</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45706</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45706</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45706</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45706</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45706</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45706</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45706</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45706</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45706</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45706</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45706</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45706</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45706</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45706</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45706</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45706</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45706</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45706</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45706</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45706</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45706</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45706</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45706</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45706</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45706</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45706</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45706</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45706</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45706</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45706</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45706</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45706</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45706</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45706</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45706</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45706</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45706</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45706</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45706</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45706</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45706</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45706</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45706</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45706</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45706</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45706</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45706</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45706</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45706</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45706</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45706</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45706</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45706</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45706</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45706</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45706</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45706</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45706</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45706</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45706</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45706</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45706</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45706</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45706</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45706</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45706</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45706</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45706</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45706</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45706</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45706</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45706</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45706</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45706</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45706</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45706</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45706</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45706</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45706</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45706</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45706</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45706</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45706</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45706</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45706</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45706</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45706</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45706</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45706</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45706</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45706</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45706</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45706</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45706</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45706</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45706</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45706</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45706</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45706</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45706</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45706</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45706</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45706</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45706</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45706</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45706</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45706</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45706</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45706</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45706</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45706</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45706</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45706</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45706</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45706</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45706</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45706</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45706</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45706</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45706</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45706</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45706</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45706</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45706</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45706</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45706</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45706</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45706</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45706</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45706</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45706</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45706</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45706</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45706</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45706</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45706</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45706</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45706</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45706</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45706</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45706</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45706</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45706</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45706</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45706</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45706</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45706</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45706</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45706</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45706</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45706</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45706</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45706</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45706</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45706</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45706</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45706</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45706</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45706</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45706</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45706</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45706</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45706</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45706</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45706</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45706</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45706</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45706</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45706</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45706</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45706</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45706</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45706</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45706</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45706</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45706</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45706</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45706</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45706</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45706</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45706</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45706</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45706</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45706</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45706</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45706</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45706</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45706</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45706</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45706</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45706</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45706</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45706</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45706</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45706</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45706</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45706</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45706</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45706</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45706</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45706</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45706</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45706</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45706</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45706</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45706</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45706</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45706</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45706</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45706</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45706</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45706</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45706</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45706</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45706</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45706</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45706</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45706</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45706</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45706</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45706</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45706</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45706</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45706</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45706</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45706</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45706</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45706</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45706</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45706</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45706</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45706</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45706</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45706</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45706</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45706</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45706</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45706</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45706</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45706</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45706</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45706</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45706</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45706</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45706</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45706</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45706</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45706</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45706</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45706</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45706</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45706</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45706</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45706</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45706</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45706</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45706</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45706</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45706</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45706</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45706</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45706</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45706</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45706</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45706</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45706</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45706</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45706</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45706</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45706</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45706</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45706</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45706</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45706</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45706</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45706</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45706</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45706</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45706</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45706</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45706</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45706</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45706</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45706</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45706</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45706</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45706</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45706</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45706</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45706</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45706</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45706</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45706</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45706</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45706</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45706</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45706</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45706</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45706</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45706</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45706</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45706</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45706</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45706</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45706</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45706</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45706</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45706</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45706</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45706</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45706</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45706</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45706</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45706</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45706</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45706</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45706</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45706</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45706</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45706</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45706</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45706</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45706</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45706</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45706</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45706</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45706</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45706</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45706</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45706</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45706</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45706</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45706</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45706</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45706</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45706</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45706</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45706</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45706</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45706</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45706</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45706</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45706</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45706</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45706</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45706</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45706</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45706</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45706</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45706</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45706</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45706</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45706</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45706</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45706</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45706</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45706</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45706</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45706</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45706</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45706</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45706</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45706</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45706</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45706</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45706</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45706</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45706</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45706</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45706</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45706</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45706</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45706</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45706</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45706</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45706</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45706</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45706</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45706</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45706</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45706</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45706</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45706</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45706</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45706</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45706</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45706</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45706</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45706</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45706</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45706</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45706</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45706</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45706</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45706</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45706</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45706</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45706</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45706</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45706</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45706</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45706</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45706</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45706</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45706</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45706</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45706</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45706</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45706</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45706</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45706</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45706</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45706</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45706</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45706</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45706</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45706</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45706</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45706</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45706</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45706</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45706</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45706</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45706</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45706</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45706</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45706</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45706</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45706</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45706</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45706</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45706</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45706</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45706</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45706</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45706</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45706</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45706</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45706</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45706</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45706</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45706</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45706</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45706</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45706</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45706</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45706</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45706</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45706</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45706</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45706</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45706</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45706</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45706</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45706</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45706</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45706</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45706</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45706</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45706</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45706</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45706</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45706</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45706</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45706</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45706</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45706</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45706</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45706</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45706</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45706</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45706</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45706</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45706</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45706</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45706</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45706</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45706</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45706</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45706</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45706</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45706</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45706</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45706</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45706</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45706</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45706</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45706</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45706</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45706</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45706</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45706</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45706</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45706</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45706</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45706</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45706</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45706</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45706</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45706</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45706</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45706</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45706</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45706</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45706</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45706</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45706</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45706</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45706</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45706</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45706</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45706</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45706</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45706</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45706</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45706</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45706</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45706</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45706</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45706</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45706</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45706</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45706</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45706</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45706</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45706</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45706</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45706</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45706</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45706</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45706</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45706</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45706</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45706</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45706</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45706</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45706</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45706</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45706</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45706</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45706</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45706</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45706</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45706</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45706</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45706</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45706</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45706</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45706</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45706</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45706</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45706</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45706</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45706</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45706</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45706</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45706</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45706</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45706</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45706</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45706</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45706</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45706</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45706</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45706</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45706</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45706</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45706</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45706</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45706</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45706</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45706</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45706</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45706</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45706</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45706</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45706</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45706</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45706</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45706</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45706</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45706</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45706</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45706</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45706</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45706</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45706</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45706</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45706</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45706</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45706</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45706</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45706</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45706</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45706</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45706</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45706</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45706</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45706</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45706</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45706</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45706</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45706</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45706</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45706</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45706</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45706</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45706</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45706</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45706</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45706</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45706</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45706</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45706</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45706</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45706</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45706</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45706</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45706</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45706</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45706</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45706</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45706</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45706</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45706</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45706</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45706</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45706</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45706</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45706</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45706</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45706</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45706</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45706</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45706</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45706</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45706</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45706</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45706</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45706</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45706</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45706</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45706</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45706</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45706</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45706</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45706</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45706</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45706</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45706</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45706</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45706</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45706</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45706</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45706</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45706</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45706</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45706</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45706</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45706</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45706</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45706</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45706</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45706</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45706</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45706</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45706</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45706</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45706</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45706</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45706</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45706</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45706</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45706</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45706</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45706</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45706</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45706</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45706</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45706</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45706</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45706</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45706</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45706</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45706</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45706</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45706</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45706</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45706</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45706</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45706</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45706</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45706</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45706</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45706</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45706</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45706</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45706</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45706</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45706</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45706</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45706</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45706</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45706</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45706</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45706</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45706</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45706</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45706</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45706</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45706</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45706</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45706</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45706</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45706</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45706</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45706</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45706</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45706</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45706</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45706</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45706</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45706</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45706</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45706</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45706</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45706</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45706</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45706</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45706</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45706</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45706</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45706</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45706</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45706</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45706</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45706</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45706</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45706</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45706</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45706</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45706</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45706</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45706</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45706</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45706</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45706</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45706</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45706</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45706</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45706</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45706</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45706</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45706</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45706</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45706</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45706</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45706</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45706</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45706</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45706</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45706</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45706</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45706</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45706</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45706</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45706</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45706</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45706</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45706</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45706</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45706</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45706</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45706</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45706</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45706</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45706</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45706</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45706</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45706</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45706</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45706</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45706</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45706</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45706</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45706</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45706</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45706</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45706</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45706</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45706</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45706</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45706</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45706</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45706</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45706</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45706</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45706</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45706</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45706</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45706</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45706</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45706</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45706</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45706</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45706</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45706</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45706</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45706</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45706</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45706</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45706</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45706</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45706</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45706</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45706</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45706</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45706</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45706</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45706</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45706</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45706</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45706</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45706</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45706</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45706</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45706</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45706</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45706</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45706</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45706</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45706</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45706</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45706</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45706</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45706</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45706</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45706</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45706</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45706</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45706</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45706</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45706</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45706</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45706</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45706</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45706</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45706</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45706</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45706</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45706</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45706</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45706</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45706</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45706</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45706</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45706</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45706</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45706</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45706</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45706</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45706</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45706</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45706</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45706</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45706</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45706</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45706</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45706</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45706</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45706</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45706</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45706</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45706</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45706</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45706</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45706</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45706</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45706</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45706</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45706</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45706</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45706</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45706</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45706</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45706</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45706</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45706</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45706</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45706</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45706</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45706</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45706</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45706</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45706</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45706</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45706</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45706</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45706</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45706</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45706</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45706</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45706</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45706</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45706</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45706</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45706</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45706</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45706</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45706</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45706</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45706</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45706</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45706</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45706</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45706</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45706</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45706</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45706</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45706</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45706</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45706</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45706</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45706</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45706</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45706</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45706</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45706</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45706</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45706</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45706</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45706</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45706</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45706</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45706</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45706</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45706</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45706</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45706</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45706</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45706</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45706</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45706</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45706</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45706</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45706</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45706</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45706</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45706</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45706</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45706</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45706</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45706</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45706</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45706</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45706</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45706</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45706</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45706</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45706</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45706</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45706</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45706</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45706</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45706</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45706</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45706</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45706</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45706</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45706</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45706</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45706</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45706</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45706</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45706</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45706</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45706</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45706</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45706</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45706</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45706</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45706</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45706</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45706</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45706</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45706</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45706</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45706</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45706</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45706</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45706</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45706</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45706</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45706</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45706</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45706</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45706</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45706</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45706</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45706</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45706</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45706</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45706</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45706</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45706</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45706</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45706</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45706</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45706</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45706</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45706</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45706</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45706</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45706</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45706</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45706</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45706</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45706</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45706</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45706</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45706</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45706</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45706</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45706</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45706</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45706</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45706</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45706</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45706</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45706</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45706</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45706</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45706</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45706</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45706</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45706</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45706</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45706</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45706</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45706</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45706</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45706</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45706</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45706</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45706</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45706</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45706</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45706</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45706</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45706</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45706</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45706</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45706</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45706</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45706</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45706</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45706</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45706</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45706</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45706</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45706</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45706</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45706</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45706</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45706</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45706</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45706</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45706</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45706</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45706</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45706</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45706</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45706</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45706</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45706</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45706</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45706</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45706</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45706</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45706</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45706</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45706</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45706</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45706</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45706</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45706</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45706</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45706</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45706</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45706</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45706</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45706</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45706</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45706</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45706</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45706</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45706</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45706</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45706</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45706</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45706</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45706</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45706</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45706</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45706</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45706</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45706</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45706</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45706</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45706</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45706</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45706</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45706</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45706</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45706</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45706</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45706</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45706</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45706</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45706</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45706</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45706</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45706</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45706</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45706</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45706</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45706</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45706</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45706</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45706</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45706</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45706</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45706</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45706</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45706</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45706</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45706</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45706</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45706</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45706</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45706</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45706</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45706</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45706</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45706</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45706</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45706</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45706</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45706</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45706</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45706</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45706</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45706</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45706</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45706</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45706</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45706</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45706</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45706</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45706</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45706</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45706</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45706</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45706</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45706</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45706</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45706</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45706</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45706</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45706</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45706</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45706</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45706</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45706</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45706</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45706</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45706</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45706</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45706</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45706</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45706</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45706</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45706</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45706</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45706</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45706</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45706</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45706</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45706</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45706</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45706</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45706</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45706</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45706</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45706</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45706</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45706</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45706</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45706</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45706</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45706</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45706</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45706</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45706</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45706</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45706</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45706</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45706</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45706</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45706</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45706</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45706</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45706</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45706</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45706</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45706</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45706</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45706</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45706</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45706</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45706</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45706</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45706</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45706</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45706</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45706</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45706</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45706</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45706</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45706</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45706</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45706</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45706</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45706</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45706</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45706</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45706</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45706</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45706</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45706</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45706</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45706</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45706</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45706</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45706</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45706</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45706</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45706</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45706</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45706</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45706</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45706</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45706</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45706</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45706</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45706</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45706</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45706</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45706</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45706</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45706</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45706</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45706</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45706</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45706</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45706</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45706</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45706</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45706</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45706</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45706</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45706</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45706</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45706</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45706</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45706</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45706</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45706</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45706</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45706</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45706</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45706</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45706</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45706</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45706</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45706</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45706</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45706</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45706</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45706</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45706</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45706</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45706</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45706</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45706</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45706</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45706</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45706</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45706</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45706</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45706</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45706</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45706</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45706</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45706</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45706</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45706</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45706</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45706</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45706</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45706</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45706</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45706</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45706</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45706</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45706</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45706</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45706</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45706</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45706</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45706</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45706</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45706</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45706</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45706</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45706</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45706</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45706</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45706</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45706</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45706</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45706</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45706</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45706</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45706</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45706</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45706</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45706</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45706</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45706</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45706</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45706</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45706</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45706</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45706</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45706</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45706</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45706</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45706</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45706</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45706</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45706</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45706</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45706</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45706</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45706</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45706</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45706</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45706</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45706</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45706</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45706</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45706</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45706</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45706</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45706</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45706</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45706</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45706</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45706</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45706</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45706</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45706</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45706</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45706</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45706</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45706</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45706</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45706</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45706</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45706</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45706</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45706</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45706</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45706</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45706</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45706</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45706</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45706</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45706</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45706</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45706</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45706</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45706</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45706</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45706</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45706</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45706</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45706</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45706</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45706</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45706</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45706</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45706</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45706</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45706</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45706</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45706</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45706</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45706</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45706</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45706</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45706</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45706</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45706</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45706</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45706</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45706</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45706</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45706</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45706</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45706</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45706</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45706</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45706</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45706</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45706</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45706</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45706</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45706</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45706</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45706</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45706</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45706</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45706</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45706</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45706</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45706</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45706</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45706</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45706</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45706</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45706</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45706</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45706</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45706</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45706</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45706</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45706</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45706</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45706</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45706</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45706</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45706</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45706</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45706</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45706</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45706</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45706</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45706</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45706</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45706</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45706</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45706</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45706</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45706</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45706</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45706</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45706</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45706</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45706</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45706</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45706</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45706</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45706</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45706</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45706</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45706</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45706</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45706</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45706</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45706</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45706</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45706</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45706</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45706</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45706</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45706</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45706</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45706</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45706</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45706</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45706</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45706</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45706</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45706</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45706</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45706</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45706</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45706</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45706</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45706</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45706</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45706</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45706</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45706</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45706</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45706</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45706</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45706</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45706</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45706</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45706</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45706</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45706</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45706</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45706</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45706</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45706</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45706</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45706</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45706</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45706</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45706</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45706</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45706</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45706</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45706</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45706</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45706</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45706</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45706</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45706</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45706</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45706</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45706</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45706</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45706</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45706</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45706</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45706</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45706</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45706</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45706</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45706</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45706</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45706</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45706</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45706</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45706</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45706</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45706</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45706</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45706</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45706</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45706</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45706</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45706</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45706</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45706</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45706</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45706</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45706</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45706</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45706</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45706</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45706</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45706</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45706</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45706</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45706</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45706</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45706</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45706</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45706</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45706</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45706</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45706</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45706</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45706</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45706</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45706</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45706</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45706</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45706</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45706</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45706</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45706</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45706</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45706</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45706</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45706</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45706</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45706</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45706</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45706</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45706</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45706</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45706</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45706</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45706</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45706</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45706</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45706</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45706</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45706</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45706</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45706</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45706</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45706</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45706</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45706</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45706</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45706</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45706</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45706</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45706</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45706</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45706</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45706</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45706</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45706</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45706</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45706</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45706</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45706</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45706</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45706</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45706</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45706</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45706</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45706</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45706</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45706</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45706</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45706</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45706</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45706</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45706</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45706</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45706</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45706</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45706</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45706</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45706</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45706</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45706</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45706</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45706</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45706</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45706</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45706</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45706</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45706</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45706</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45706</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45706</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45706</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45706</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45706</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45706</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45706</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45706</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45706</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45706</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45706</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45706</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45706</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45706</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45706</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45706</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45706</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45706</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45706</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45706</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45706</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45706</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45706</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45706</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45706</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45706</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45706</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45706</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45706</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45706</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45706</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45706</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45706</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45706</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45706</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45706</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45706</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45706</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45706</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45706</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45706</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45706</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45706</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45706</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45706</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45706</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45706</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45706</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45706</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45706</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45706</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45706</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45706</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45706</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45706</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45706</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45706</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45706</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45706</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45706</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45706</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45706</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45706</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45706</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45706</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45706</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45706</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45706</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45706</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45706</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45706</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45706</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45706</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45706</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45706</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45706</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45706</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45706</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45706</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45706</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45706</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45706</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45706</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45706</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45706</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45706</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45706</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45706</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45706</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45706</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45706</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45706</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45706</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45706</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45706</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45706</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45706</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45706</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45706</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45706</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45706</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45706</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45706</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45706</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45706</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45706</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45706</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45706</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45706</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45706</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45706</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45706</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45706</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45706</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45706</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45706</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45706</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45706</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45706</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45706</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45706</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45706</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45706</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45706</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45706</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45706</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45706</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45706</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45706</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45706</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45706</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45706</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45706</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45706</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45706</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45706</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45706</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45706</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45706</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45706</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45706</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45706</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45706</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45706</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45706</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45706</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45706</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45706</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45706</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45706</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45706</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45706</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45706</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45706</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45706</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45706</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45706</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45706</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45706</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45706</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45706</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45706</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45706</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45706</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45706</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45706</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45706</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45706</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45706</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45706</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45706</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45706</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45706</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45706</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45706</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45706</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45706</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45706</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45706</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45706</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45706</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45706</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45706</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45706</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45706</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45706</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45706</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45706</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45706</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45706</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45706</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45706</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45706</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45706</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45706</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45706</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45706</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45706</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45706</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45706</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45706</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45706</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45706</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45706</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45706</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45706</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45706</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45706</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45706</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45706</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45706</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45706</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45706</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45706</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45706</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45706</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45706</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45706</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45706</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45706</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45706</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45706</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45706</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45706</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45706</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45706</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45706</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45706</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45706</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45706</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45706</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45706</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45706</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45706</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45706</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45706</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45706</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45706</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45706</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45706</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45706</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45706</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45706</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45706</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45706</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45706</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45706</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45706</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45706</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45706</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45706</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45706</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45706</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45706</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45706</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45706</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45706</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45706</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45706</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45706</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45706</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45706</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45706</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45706</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45706</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45706</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45706</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45706</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45706</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45706</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45706</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45706</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45706</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45706</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45706</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45706</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45706</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45706</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45706</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45706</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45706</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45706</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45706</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45706</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45706</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45706</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45706</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45706</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45706</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45706</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45706</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45706</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45706</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45706</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45706</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45706</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45706</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45706</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45706</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45706</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45706</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45706</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45706</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45706</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45706</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45706</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45706</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45706</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45706</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45706</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45706</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45706</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45706</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45706</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45706</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45706</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45706</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45706</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45706</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45706</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45706</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45706</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45706</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45706</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45706</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45706</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45706</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45706</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45706</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45706</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45706</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45706</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45706</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45706</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45706</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45706</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45706</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45706</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45706</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45706</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45706</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45706</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45706</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45706</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45706</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45706</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45706</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45706</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45706</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45706</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45706</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45706</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45706</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45706</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45706</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45706</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45706</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45706</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45706</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45706</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45706</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45706</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45706</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45706</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45706</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45706</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45706</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45706</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45706</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45706</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45706</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45706</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45706</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45706</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45706</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45706</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45706</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45706</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45706</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45706</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45706</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45706</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45706</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45706</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45706</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45706</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45706</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45706</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45706</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45706</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45706</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45706</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45706</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45706</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45706</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45706</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45706</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45706</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45706</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45706</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45706</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45706</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45706</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45706</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45706</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45706</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45706</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45706</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45706</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45706</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45706</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45706</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45706</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45706</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45706</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45706</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45706</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45706</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45706</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45706</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45706</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45706</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45706</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45706</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45706</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45706</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45706</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45706</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45706</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45706</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45706</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45706</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45706</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45706</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45706</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45706</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45706</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45706</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45706</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45706</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45706</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45706</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45706</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45706</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45706</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45706</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45706</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45706</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45706</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45706</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45706</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45706</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45706</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45706</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45706</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45706</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45706</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45706</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45706</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45706</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45706</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45706</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45706</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45706</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45706</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45706</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45706</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45706</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45706</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45706</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45706</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45706</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45706</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45706</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45706</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45706</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45706</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45706</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45706</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45706</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45706</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45706</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45706</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45706</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45706</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45706</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45706</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45706</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45706</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45706</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45706</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45706</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45706</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45706</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45706</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45706</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45706</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45706</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45706</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45706</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45706</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45706</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45706</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45706</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45706</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45706</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45706</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45706</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45706</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45706</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45706</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45706</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45706</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45706</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45706</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45706</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45706</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45706</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45706</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45706</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45706</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45706</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45706</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45706</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45706</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45706</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45706</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45706</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45706</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45706</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45706</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45706</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45706</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45706</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45706</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45706</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45706</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45706</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45706</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45706</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45706</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45706</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45706</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45706</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45706</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45706</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45706</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45706</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45706</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45706</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45706</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45706</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45706</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45706</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45706</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45706</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45706</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45706</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45706</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45706</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45706</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45706</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45706</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45706</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45706</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45706</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45706</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45706</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45706</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45706</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45706</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45706</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45706</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45706</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45706</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45706</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45706</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45706</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45706</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45706</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45706</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45706</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45706</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45706</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45706</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45706</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45706</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45706</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45706</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45706</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45706</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45706</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45706</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45706</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45706</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45706</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45706</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45706</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45706</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45706</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45706</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45706</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45706</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45706</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45706</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45706</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45706</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45706</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45706</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45706</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45706</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45706</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45706</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45706</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45706</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45706</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45706</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45706</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45706</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45706</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45706</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45706</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45706</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45706</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45706</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45706</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45706</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45706</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45706</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45706</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45706</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45706</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45706</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45706</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45706</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45706</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45706</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45706</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45706</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45706</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45706</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45706</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45706</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45706</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45706</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45706</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45706</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45706</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45706</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45706</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45706</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45706</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45706</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45706</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45706</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45706</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45706</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45706</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45706</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45706</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45706</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45706</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45706</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45706</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45706</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45706</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45706</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45706</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45706</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45706</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45706</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45706</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45706</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45706</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45706</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45706</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45706</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45706</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45706</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45706</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45706</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45706</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45706</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45706</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45706</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45706</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45706</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45706</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45706</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45706</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45706</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45706</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45706</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45706</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45706</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45706</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45706</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45706</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45706</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45706</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45706</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45706</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45706</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45706</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45706</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45706</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45706</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45706</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45706</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45706</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45706</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45706</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45706</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45706</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45706</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45706</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45706</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45706</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45706</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45706</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45706</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45706</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45706</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45706</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45706</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45706</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45706</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45706</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45706</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45706</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45706</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45706</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45706</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45706</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45706</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45706</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45706</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45706</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45706</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45706</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45706</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45706</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45706</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45706</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45706</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45706</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45706</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45706</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45706</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45706</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45706</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45706</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45706</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45706</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45706</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45706</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45706</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45706</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45706</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45706</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45706</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45706</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45706</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45706</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45706</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45706</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45706</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45706</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45706</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45706</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45706</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45706</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45706</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45706</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45706</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45706</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45706</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45706</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45706</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45706</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45706</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45706</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45706</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45706</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45706</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45706</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45706</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45706</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45706</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45706</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45706</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45706</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45706</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45706</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45706</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45706</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45706</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45706</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45706</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45706</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45706</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45706</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45706</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45706</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45706</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45706</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45706</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45706</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45706</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45706</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45706</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45706</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45706</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45706</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45706</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45706</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45706</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45706</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45706</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45706</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45706</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45706</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45706</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45706</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45706</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45706</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45706</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45706</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45706</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45706</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45706</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45706</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45706</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45706</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45706</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45706</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45706</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45706</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45706</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45706</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45706</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45706</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45706</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45706</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45706</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45706</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45706</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45706</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45706</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45706</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45706</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45706</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45706</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45706</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45706</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45706</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45706</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45706</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45706</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45706</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45706</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45706</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45706</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45706</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45706</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45706</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45706</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45706</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45706</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45706</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45706</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45706</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45706</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45706</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45706</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45706</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45706</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45706</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45706</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45706</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45706</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45706</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45706</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45706</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45706</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45706</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45706</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45706</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45706</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45706</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45706</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45706</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45706</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45706</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45706</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45706</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45706</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45706</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45706</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45706</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45706</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45706</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45706</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45706</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45706</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45706</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45706</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45706</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45706</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45706</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45706</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45706</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45706</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45706</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45706</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45706</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45706</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45706</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45706</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45706</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45706</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45706</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45706</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45706</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45706</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45706</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45706</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45706</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45706</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45706</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45706</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45706</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45706</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45706</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45706</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45706</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45706</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45706</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45706</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45706</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45706</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45706</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45706</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45706</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45706</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45706</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45706</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45706</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45706</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45706</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45706</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45706</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45706</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45706</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45706</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45706</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45706</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45706</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45706</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45706</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45706</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45706</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45706</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45706</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45706</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45706</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45706</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45706</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45706</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45706</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45706</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45706</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45706</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45706</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45706</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45706</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45706</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45706</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45706</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45706</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45706</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45706</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45706</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45706</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45706</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45706</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45706</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45706</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45706</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45706</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45706</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45706</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45706</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45706</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45706</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45706</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45706</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45706</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45706</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45706</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45706</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45706</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45706</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45706</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45706</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45706</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45706</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45706</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45706</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45706</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45706</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45706</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45706</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45706</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45706</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45706</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45706</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45706</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45706</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45706</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45706</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45706</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45706</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45706</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45706</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45706</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45706</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45706</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45706</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45706</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45706</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45706</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45706</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45706</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45706</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45706</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45706</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45706</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45706</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45706</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45706</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45706</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45706</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45706</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45706</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45706</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45706</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45706</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45706</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45706</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45706</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45706</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45706</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45706</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45706</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45706</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45706</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45706</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45706</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45706</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45706</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45706</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45706</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45706</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45706</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45706</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45706</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45706</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45706</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45706</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45706</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45706</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45706</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45706</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45706</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45706</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45706</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45706</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45706</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45706</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45706</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45706</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45706</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45706</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45706</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45706</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45706</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45706</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45706</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45706</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45706</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45706</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45706</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45706</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45706</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45706</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45706</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45706</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45706</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45706</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45706</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45706</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45706</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45706</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45706</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45706</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45706</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45706</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45706</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45706</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45706</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45706</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45706</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45706</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45706</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45706</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45706</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45706</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45706</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45706</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45706</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45706</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45706</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45706</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45706</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45706</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45706</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45706</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45706</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45706</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45706</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45706</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45706</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45706</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45706</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45706</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45706</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45706</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45706</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45706</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45706</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45706</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45706</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45706</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45706</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45706</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45706</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45706</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45706</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45706</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45706</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45706</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45706</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45706</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45706</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45706</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45706</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45706</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45706</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45706</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45706</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45706</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45706</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45706</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45706</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45706</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45706</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45706</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45706</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45706</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45706</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45706</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45706</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45706</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45706</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45706</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45706</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45706</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45706</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45706</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45706</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45706</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45706</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45706</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45706</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45706</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45706</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45706</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45706</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45706</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45706</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45706</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45706</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45706</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45706</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45706</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45706</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45706</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45706</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45706</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45706</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45706</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45706</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45706</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45706</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45706</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45706</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45706</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45706</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45706</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45706</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45706</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45706</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45706</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45706</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45706</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45706</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45706</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45706</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45706</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45706</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45706</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45706</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45706</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45706</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45706</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45706</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45706</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45706</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45706</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45706</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45706</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45706</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45706</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45706</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45706</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45706</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45706</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45706</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45706</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45706</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45706</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45706</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45706</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45706</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45706</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45706</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45706</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45706</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45706</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45706</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45706</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45706</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45706</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45706</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45706</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45706</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45706</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45706</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45706</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45706</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45706</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45706</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45706</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45706</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45706</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45706</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45706</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45706</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45706</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45706</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45706</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45706</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45706</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45706</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45706</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45706</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45706</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45706</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45706</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45706</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45706</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45706</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45706</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45706</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45706</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45706</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45706</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45706</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45706</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45706</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45706</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45706</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45706</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45706</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45706</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45706</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45706</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45706</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45706</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45706</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45706</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45706</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45706</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45706</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45706</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45706</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45706</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45706</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45706</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45706</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45706</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45706</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45706</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45706</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45706</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45706</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45706</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45706</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45706</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45706</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45706</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45706</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45706</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45706</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45706</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45706</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45706</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45706</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45706</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45706</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45706</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45706</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45706</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45706</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45706</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45706</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45706</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45706</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45706</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45706</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45706</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45706</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45706</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45706</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45706</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45706</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45706</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45706</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45706</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45706</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45706</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45706</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45706</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45706</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45706</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45706</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45706</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45706</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45706</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45706</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45706</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45706</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45706</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45706</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45706</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45706</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45706</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45706</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45706</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45706</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45706</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45706</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45706</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45706</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45706</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45706</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45706</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45706</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45706</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45706</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45706</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45706</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45706</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45706</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45706</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45706</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45706</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45706</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45706</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45706</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45706</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45706</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45706</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45706</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45706</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45706</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45706</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45706</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45706</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45706</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45706</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45706</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45706</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45706</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45706</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45706</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45706</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45706</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45706</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45706</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45706</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45706</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45706</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45706</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45706</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45706</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45706</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45706</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45706</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45706</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45706</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45706</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45706</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45706</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45706</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45706</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45706</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45706</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45706</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45706</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45706</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45706</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45706</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45706</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45706</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45706</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45706</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45706</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45706</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45706</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45706</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45706</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45706</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45706</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45706</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45706</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45706</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45706</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45706</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45706</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45706</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45706</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45706</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45706</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45706</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45706</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45706</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45706</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45706</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45706</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45706</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45706</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45706</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45706</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45706</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45706</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45706</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45706</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45706</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45706</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45706</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45706</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45706</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45706</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45706</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45706</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45706</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45706</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45706</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45706</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45706</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45706</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45706</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45706</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45706</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45706</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45706</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45706</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45706</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45706</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45706</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45706</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45706</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45706</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45706</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45706</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45706</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45706</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45706</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45706</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45706</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45706</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45706</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45706</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45706</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45706</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45706</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45706</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45706</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45706</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45706</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45706</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45706</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45706</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45706</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45706</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45706</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45706</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45706</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45706</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45706</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45706</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45706</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45706</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45706</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45706</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45706</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45706</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45706</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45706</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45706</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45706</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45706</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45706</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45706</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45706</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45706</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45706</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45706</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45706</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45706</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45706</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45706</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45706</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45706</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45706</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45706</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45706</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45706</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45706</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45706</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45706</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45706</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45706</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45706</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45706</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45706</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45706</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45706</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45706</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45706</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45706</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45706</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45706</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45706</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45706</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45706</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45706</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45706</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45706</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45706</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45706</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45706</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45706</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45706</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45706</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45706</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45706</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45706</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45706</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45706</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45706</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45706</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45706</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45706</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45706</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45706</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45706</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45706</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45706</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45706</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45706</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45706</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45706</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45706</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45706</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45706</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45706</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45706</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45706</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45706</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45706</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45706</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45706</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45706</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45706</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45706</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45706</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45706</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45706</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45706</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45706</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45706</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45706</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45706</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45706</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45706</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45706</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45706</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45706</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45706</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45706</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45706</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45706</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45706</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45706</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45706</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45706</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45706</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45706</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45706</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45706</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45706</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45706</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45706</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45706</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45706</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45706</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45706</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45706</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45706</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45706</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45706</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45706</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45706</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45706</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45706</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45706</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45706</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45706</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45706</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45706</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45706</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45706</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45706</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45706</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45706</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45706</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45706</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45706</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45706</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45706</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45706</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45706</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45706</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45706</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45706</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45706</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45706</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45706</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45706</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45706</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45706</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45706</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45706</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45706</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45706</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45706</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45706</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45706</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45706</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45706</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45706</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45706</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45706</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45706</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45706</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45706</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45706</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45706</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45706</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45706</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45706</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45706</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45706</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45706</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45706</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45706</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45706</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45706</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45706</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45706</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45706</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45706</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45706</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45706</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45706</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45706</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45706</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45706</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45706</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45706</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45706</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45706</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45706</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45706</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45706</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45706</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45706</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45706</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45706</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45706</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45706</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45706</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45706</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45706</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45706</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45706</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45706</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45706</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45706</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45706</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45706</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45706</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45706</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45706</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45706</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45706</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45706</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45706</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45706</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45706</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45706</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45706</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45706</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45706</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45706</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45706</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45706</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45706</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45706</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45706</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45706</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45706</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45706</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45706</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45706</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45706</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45706</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45706</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45706</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45706</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45706</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45706</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45706</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45706</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45706</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45706</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45706</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45706</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45706</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45706</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45706</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45706</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45706</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45706</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45706</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45706</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45706</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45706</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45706</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45706</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45706</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45706</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45706</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45706</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45706</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45706</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45706</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45706</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45706</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45706</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45706</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45706</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45706</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45706</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45706</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45706</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45706</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45706</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45706</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45706</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45706</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45706</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45706</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45706</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45706</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45706</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45706</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45706</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45706</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45706</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45706</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45706</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45706</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45706</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45706</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45706</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45706</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45706</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45706</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45706</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45706</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45706</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45706</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45706</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45706</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45706</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45706</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45706</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45706</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45706</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45706</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45706</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45706</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45706</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45706</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45706</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45706</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45706</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45706</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45706</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45706</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45706</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45706</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45706</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45706</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45706</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45706</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45706</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45706</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45706</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45706</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45706</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45706</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45706</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45706</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45706</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45706</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45706</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45706</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45706</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45706</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45706</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45706</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45706</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45706</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45706</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45706</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45706</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45706</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45706</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45706</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45706</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45706</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45706</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45706</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45706</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45706</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45706</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45706</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45706</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45706</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45706</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45706</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45706</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45706</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45706</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45706</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45706</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45706</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45706</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45706</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45706</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45706</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45706</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45706</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45706</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45706</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45706</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45706</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45706</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45706</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45706</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45706</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45706</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45706</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45706</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45706</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45706</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45706</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45706</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45706</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45706</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45706</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45706</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45706</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45706</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45706</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45706</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45706</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45706</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45706</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45706</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45706</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45706</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45706</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45706</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45706</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45706</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45706</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45706</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45706</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45706</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45706</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45706</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45706</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45706</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45706</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45706</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45706</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45706</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45706</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45706</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45706</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45706</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45706</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45706</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45706</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45706</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45706</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45706</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45706</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45706</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45706</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45706</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45706</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45706</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45706</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45706</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45706</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45706</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45706</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45706</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45706</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45706</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45706</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45706</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45706</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45706</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45706</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45706</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45706</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45706</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45706</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45706</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45706</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45706</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45706</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45706</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45706</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45706</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45706</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45706</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45706</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45706</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45706</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45706</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45706</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45706</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45706</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45706</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45706</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45706</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45706</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45706</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45706</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45706</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45706</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45706</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45706</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45706</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45706</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45706</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45706</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45706</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45706</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45706</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45706</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45706</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45706</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45706</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45706</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45706</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45706</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45706</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45706</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45706</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45706</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45706</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45706</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45706</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45706</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45706</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45706</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45706</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45706</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45706</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45706</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45706</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45706</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45706</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45706</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45706</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45706</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45706</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45706</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45706</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45706</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45706</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45706</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45706</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45706</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45706</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45706</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45706</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45706</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45706</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45706</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45706</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45706</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45706</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45706</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45706</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45706</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45706</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45706</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45706</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45706</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45706</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45706</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45706</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45706</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45706</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45706</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45706</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45706</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45706</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45706</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45706</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45706</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45706</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45706</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45706</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45706</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45706</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45706</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45706</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45706</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45706</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45706</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45706</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45706</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45706</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45706</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45706</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45706</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45706</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45706</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45706</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45706</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45706</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45706</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45706</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45706</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45706</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45706</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45706</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45706</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45706</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45706</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45706</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45706</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45706</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45706</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45706</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45706</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45706</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45706</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45706</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45706</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45706</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45706</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45706</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45706</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45706</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45706</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45706</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45706</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45706</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45706</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45706</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45706</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45706</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45706</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45706</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45706</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45706</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45706</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45706</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45706</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45706</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45706</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45706</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45706</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45706</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45706</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45706</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45706</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45706</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45706</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45706</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45706</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45706</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45706</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45706</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45706</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45706</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45706</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45706</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45706</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45706</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45706</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45706</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45706</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45706</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45706</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45706</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45706</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45706</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45706</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45706</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45706</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45706</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45706</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45706</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45706</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45706</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45706</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45706</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45706</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45706</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45706</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45706</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45706</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45706</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45706</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45706</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45706</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45706</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45706</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45706</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45706</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45706</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45706</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45706</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45706</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45706</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45706</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45706</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45706</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45706</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45706</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45706</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45706</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45706</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45706</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45706</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45706</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45706</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45706</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45706</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45706</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45706</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45706</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45706</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45706</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45706</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45706</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45706</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45706</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45706</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45706</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45706</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45706</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45706</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45706</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45706</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45706</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45706</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45706</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45706</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45706</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45706</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45706</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45706</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45706</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45706</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45706</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45706</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45706</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45706</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45706</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45706</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45706</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45706</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45706</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45706</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45706</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45706</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45706</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45706</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45706</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45706</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45706</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45706</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45706</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45706</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45706</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45706</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45706</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45706</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45706</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45706</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45706</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45706</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45706</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45706</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45706</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45706</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45706</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45706</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45706</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45706</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45706</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45706</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45706</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45706</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45706</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45706</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45706</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45706</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45706</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45706</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45706</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45706</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45706</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45706</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45706</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45706</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45706</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45706</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45706</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45706</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45706</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45706</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45706</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45706</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45706</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45706</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45706</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45706</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45706</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45706</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45706</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45706</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45706</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45706</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45706</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45706</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45706</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45706</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45706</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45706</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45706</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45706</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45706</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45706</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45706</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45706</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45706</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45706</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45706</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45706</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45706</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45706</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45706</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45706</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45706</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45706</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45706</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45706</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45706</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45706</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45706</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45706</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45706</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45706</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45706</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45706</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45706</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45706</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45706</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45706</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45706</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45706</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45706</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45706</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45706</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45706</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45706</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45706</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45706</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45706</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45706</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45706</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45706</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45706</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45706</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45706</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45706</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45706</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45706</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45706</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45706</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45706</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45706</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45706</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45706</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45706</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45706</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45706</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45706</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45706</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45706</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45706</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45706</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45706</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45706</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45706</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45706</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45706</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45706</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45706</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45706</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45706</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45706</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45706</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45706</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45706</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45706</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45706</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45706</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45706</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45706</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45706</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45706</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45706</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45706</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45706</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45706</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45706</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45706</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45706</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45706</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45706</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45706</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45706</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45706</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45706</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45706</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45706</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45706</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45706</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45706</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45706</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45706</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45706</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45706</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45706</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45706</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45706</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45706</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45706</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45706</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45706</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45706</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45706</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45706</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45706</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45706</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45706</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45706</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45706</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45706</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45706</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45706</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45706</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45706</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45706</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45706</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45706</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45706</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45706</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45706</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45706</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45706</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45706</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45706</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45706</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45706</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45706</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45706</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45706</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45706</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45706</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45706</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45706</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45706</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45706</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45706</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45706</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45706</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45706</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45706</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45706</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45706</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45706</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45706</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45706</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45706</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45706</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45706</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45706</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45706</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45706</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45706</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45706</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45706</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45706</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45706</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45706</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45706</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45706</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45706</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45706</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45706</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45706</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45706</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45706</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45706</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45706</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45706</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45706</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45706</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45706</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45706</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45706</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45706</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45706</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45706</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45706</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45706</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45706</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45706</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45706</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45706</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45706</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45706</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45706</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45706</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45706</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45706</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45706</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45706</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45706</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45706</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45706</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45706</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45706</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45706</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45706</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45706</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45706</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45706</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45706</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45706</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45706</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45706</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45706</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45706</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45706</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45706</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45706</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45706</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45706</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45706</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45706</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45706</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45706</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45706</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45706</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45706</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45706</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45706</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45706</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45706</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45706</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45706</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45706</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45706</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45706</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45706</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45706</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45706</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45706</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45706</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45706</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45706</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45706</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45706</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45706</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45706</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45706</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45706</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45706</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45706</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45706</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45706</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45706</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45706</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45706</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45706</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45706</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45706</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45706</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45706</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45706</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45706</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45706</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45706</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45706</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45706</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45706</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45706</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45706</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45706</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45706</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45706</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45706</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45706</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45706</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45706</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45706</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45706</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45706</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45706</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45706</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45706</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45706</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45706</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45706</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45706</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45706</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45706</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45706</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45706</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45706</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45706</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45706</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45706</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45706</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45706</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45706</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45706</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45706</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45706</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45706</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45706</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45706</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45706</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45706</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45706</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45706</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45706</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45706</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45706</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45706</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45706</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45706</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45706</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45706</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45706</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45706</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45706</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45706</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45706</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45706</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45706</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45706</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45706</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45706</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45706</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45706</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45706</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45706</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45706</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45706</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45706</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45706</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45706</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45706</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45706</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45706</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45706</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45706</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45706</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45706</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45706</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45706</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45706</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45706</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45706</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45706</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45706</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45706</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45706</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45706</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45706</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45706</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45706</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45706</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45706</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45706</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45706</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45706</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45706</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45706</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45706</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45706</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45706</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45706</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45706</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45706</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45706</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45706</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45706</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45706</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45706</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45706</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45706</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45706</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45706</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45706</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45706</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45706</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45706</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45706</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45706</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45706</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45706</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45706</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45706</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45706</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45706</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45706</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45706</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45706</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45706</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45706</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45706</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45706</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45706</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45706</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45706</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45706</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45706</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45706</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45706</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45706</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45706</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45706</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45706</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45706</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45706</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45706</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45706</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45706</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45706</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45706</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45706</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45706</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45706</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45706</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45706</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45706</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45706</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45706</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45706</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45706</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45706</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45706</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45706</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45706</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45706</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45706</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45706</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45706</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45706</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45706</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45706</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45706</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45706</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45706</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45706</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45706</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45706</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45706</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45706</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45706</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45706</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45706</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45706</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45706</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45706</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45706</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45706</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45706</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45706</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45706</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45706</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45706</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45706</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45706</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45706</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45706</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45706</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45706</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45706</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45706</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45706</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45706</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45706</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45706</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45706</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45706</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45706</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45706</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45706</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45706</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45706</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45706</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45706</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45706</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45706</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45706</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45706</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45706</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45706</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45706</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45706</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45706</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45706</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45706</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45706</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45706</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45706</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45706</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45706</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45706</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45706</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45706</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45706</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45706</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45706</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45706</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45706</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45706</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45706</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45706</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45706</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45706</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45706</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45706</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45706</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45706</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45706</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45706</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45706</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45706</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45706</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45706</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45706</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45706</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45706</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45706</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45706</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45706</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45706</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45706</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45706</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45706</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45706</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45706</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45706</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45706</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45706</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45706</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45706</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45706</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45706</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45706</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45706</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45706</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45706</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45706</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45706</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45706</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45706</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45706</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45706</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45706</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45706</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45706</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45706</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45706</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45706</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45706</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45706</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45706</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45706</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45706</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45706</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45706</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45706</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45706</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45706</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45706</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45706</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45706</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45706</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45706</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45706</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45706</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45706</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45706</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45706</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45706</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45706</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45706</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45706</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45706</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45706</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45706</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45706</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45706</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45706</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45706</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45706</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45706</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45706</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45706</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45706</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45706</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45706</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45706</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45706</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45706</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45706</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45706</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45706</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45706</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45706</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45706</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45706</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45706</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45706</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45706</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45706</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45706</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45706</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45706</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45706</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45706</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45706</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45706</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45706</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45706</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45706</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45706</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45706</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45706</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45706</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45706</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45706</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45706</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45706</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45706</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45706</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45706</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45706</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45706</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45706</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45706</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45706</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45706</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45706</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45706</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45706</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45706</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45706</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45706</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45706</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45706</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45706</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45706</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45706</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45706</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45706</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45706</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45706</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45706</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45706</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45706</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45706</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45706</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45706</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45706</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45706</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45706</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45706</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45706</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45706</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45706</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45706</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45706</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45706</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45706</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45706</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45706</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45706</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45706</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45706</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45706</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45706</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45706</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45706</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45706</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45706</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45706</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45706</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45706</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45706</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45706</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45706</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45706</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45706</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45706</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45706</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45706</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45706</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45706</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45706</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45706</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45706</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45706</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45706</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45706</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45706</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45706</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45706</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45706</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45706</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45706</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45706</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45706</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45706</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45706</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45706</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45706</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45706</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45706</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45706</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45706</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45706</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45706</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45706</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45706</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45706</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45706</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45706</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45706</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45706</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45706</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45706</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45706</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45706</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45706</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45706</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45706</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45706</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45706</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45706</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45706</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45706</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45706</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45706</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45706</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45706</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45706</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45706</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45706</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45706</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45706</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45706</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45706</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45706</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45706</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45706</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45706</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45706</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45706</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45706</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45706</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45706</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45706</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45706</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45706</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45706</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45706</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45706</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45706</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45706</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45706</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45706</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45706</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45706</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45706</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45706</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45706</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45706</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45706</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45706</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45706</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45706</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45706</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45706</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45706</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45706</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45706</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45706</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45706</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45706</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45706</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45706</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45706</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45706</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45706</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45706</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45706</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45706</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45706</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45706</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45706</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45706</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45706</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45706</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45706</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45706</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45706</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45706</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45706</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45706</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45706</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45706</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45706</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45706</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45706</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45706</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45706</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45706</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45706</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45706</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45706</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45706</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45706</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45706</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45706</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45706</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45706</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45706</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45706</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45706</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45706</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45706</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45706</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45706</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45706</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45706</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45706</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45706</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45706</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45706</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45706</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45706</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45706</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45706</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45706</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45706</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45706</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45706</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45706</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45706</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45706</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45706</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45706</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45706</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45706</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45706</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45706</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45706</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45706</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45706</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45706</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45706</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45706</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45706</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45706</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45706</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45706</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45706</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45706</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45706</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45706</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45706</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45706</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45706</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45706</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45706</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45706</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45706</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45706</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45706</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45706</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45706</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45706</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45706</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45706</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45706</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45706</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45706</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45706</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45706</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45706</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45706</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45706</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45706</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45706</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45706</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45706</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45706</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45706</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45706</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45706</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45706</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45706</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45706</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45706</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45706</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45706</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45706</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45706</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45706</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45706</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45706</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45706</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45706</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45706</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45706</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45706</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45706</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45706</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45706</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45706</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45706</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45706</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45706</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45706</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45706</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45706</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45706</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45706</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45706</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45706</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45706</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45706</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45706</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45706</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45706</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45706</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45706</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45706</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45706</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45706</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45706</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45706</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45706</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45706</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45706</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45706</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45706</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45706</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45706</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45706</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45706</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45706</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45706</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45706</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45706</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45706</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45706</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45706</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45706</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45706</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45706</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45706</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45706</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45706</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45706</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45706</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45706</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45706</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45706</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45706</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45706</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45706</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45706</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45706</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45706</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45706</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45706</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45706</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45706</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45706</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45706</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45706</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45706</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45706</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45706</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45706</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45706</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45706</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45706</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45706</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45706</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45706</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45706</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45706</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45706</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45706</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45706</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45706</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45706</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45706</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45706</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45706</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45706</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45706</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45706</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45706</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45706</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45706</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45706</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45706</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45706</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45706</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45706</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45706</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45706</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45706</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45706</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45706</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45706</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45706</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45706</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45706</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45706</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45706</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45706</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45706</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45706</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45706</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45706</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45706</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45706</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45706</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45706</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45706</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45706</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45706</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45706</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45706</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45706</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45706</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45706</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45706</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45706</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45706</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45706</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45706</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45706</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45706</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45706</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45706</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45706</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45706</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45706</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45706</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45706</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45706</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45706</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45706</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45706</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45706</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45706</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45706</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45706</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45706</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45706</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45706</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45706</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45706</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45706</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45706</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45706</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45706</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45706</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45706</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45706</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45706</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45706</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45706</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45706</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45706</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45706</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45706</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45706</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45706</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45706</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45706</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45706</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45706</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45706</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45706</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45706</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45706</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45706</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45706</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45706</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45706</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45706</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45706</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45706</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45706</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45706</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45706</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45706</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45706</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45706</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45706</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45706</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45706</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45706</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45706</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45706</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45706</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45706</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45706</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45706</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45706</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45706</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45706</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45706</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45706</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45706</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45706</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45706</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45706</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45706</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45706</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45706</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45706</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45706</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45706</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45706</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45706</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45706</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45706</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45706</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45706</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45706</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45706</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45706</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45706</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45706</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45706</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45706</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45706</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45706</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45706</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45706</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45706</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45706</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45706</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45706</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45706</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45706</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45706</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45706</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45706</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45706</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45706</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45706</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45706</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45706</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45706</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45706</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45706</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45706</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45706</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45706</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45706</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45706</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45706</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45706</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45706</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45706</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45706</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45706</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45706</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45706</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45706</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45706</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45706</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45706</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45706</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45706</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45706</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45706</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45706</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45706</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45706</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45706</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45706</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45706</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45706</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45706</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45706</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45706</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45706</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45706</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45706</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45706</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45706</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45706</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45706</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45706</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45706</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45706</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45706</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45706</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45706</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45706</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45706</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45706</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45706</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45706</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45706</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45706</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45706</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45706</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45706</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45706</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45706</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45706</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45706</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45706</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45706</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45706</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45706</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45706</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45706</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45706</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45706</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45706</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45706</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45706</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45706</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45706</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45706</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45706</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45706</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45706</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45706</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45706</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45706</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45706</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45706</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45706</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45706</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45706</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45706</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45706</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45706</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45706</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45706</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45706</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45706</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45706</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45706</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45706</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45706</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45706</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45706</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45706</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45706</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45706</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45706</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45706</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45706</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45706</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45706</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45706</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45706</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45706</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45706</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45706</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45706</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45706</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45706</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45706</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45706</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45706</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45706</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45706</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45706</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45706</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45706</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45706</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45706</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45706</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45706</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45706</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45706</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45706</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45706</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45706</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45706</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45706</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45706</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45706</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45706</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45706</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45706</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45706</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45706</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45706</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45706</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45706</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45706</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45706</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45706</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45706</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45706</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45706</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45706</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45706</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45706</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45706</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45706</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45706</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45706</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45706</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45706</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45706</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45706</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45706</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45706</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45706</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45706</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45706</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45706</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45706</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45706</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45706</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45706</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45706</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45706</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45706</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45706</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45706</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45706</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45706</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45706</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45706</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45706</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45706</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45706</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45706</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45706</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45706</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45706</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45706</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45706</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2722-2025</t>
        </is>
      </c>
      <c r="B14384" s="1" t="n">
        <v>45677</v>
      </c>
      <c r="C14384" s="1" t="n">
        <v>45706</v>
      </c>
      <c r="D14384" t="inlineStr">
        <is>
          <t>DALARNAS LÄN</t>
        </is>
      </c>
      <c r="E14384" t="inlineStr">
        <is>
          <t>MALUNG-SÄLEN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2734-2025</t>
        </is>
      </c>
      <c r="B14385" s="1" t="n">
        <v>45677</v>
      </c>
      <c r="C14385" s="1" t="n">
        <v>45706</v>
      </c>
      <c r="D14385" t="inlineStr">
        <is>
          <t>DALARNAS LÄN</t>
        </is>
      </c>
      <c r="E14385" t="inlineStr">
        <is>
          <t>RÄTTVIK</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2756-2025</t>
        </is>
      </c>
      <c r="B14386" s="1" t="n">
        <v>45677</v>
      </c>
      <c r="C14386" s="1" t="n">
        <v>45706</v>
      </c>
      <c r="D14386" t="inlineStr">
        <is>
          <t>DALARNAS LÄN</t>
        </is>
      </c>
      <c r="E14386" t="inlineStr">
        <is>
          <t>FALUN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2784-2025</t>
        </is>
      </c>
      <c r="B14387" s="1" t="n">
        <v>45677</v>
      </c>
      <c r="C14387" s="1" t="n">
        <v>45706</v>
      </c>
      <c r="D14387" t="inlineStr">
        <is>
          <t>DALARNAS LÄN</t>
        </is>
      </c>
      <c r="E14387" t="inlineStr">
        <is>
          <t>MORA</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2832-2025</t>
        </is>
      </c>
      <c r="B14388" s="1" t="n">
        <v>45677</v>
      </c>
      <c r="C14388" s="1" t="n">
        <v>45706</v>
      </c>
      <c r="D14388" t="inlineStr">
        <is>
          <t>DALARNAS LÄN</t>
        </is>
      </c>
      <c r="E14388" t="inlineStr">
        <is>
          <t>VANSBRO</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2694-2025</t>
        </is>
      </c>
      <c r="B14389" s="1" t="n">
        <v>45677</v>
      </c>
      <c r="C14389" s="1" t="n">
        <v>45706</v>
      </c>
      <c r="D14389" t="inlineStr">
        <is>
          <t>DALARNAS LÄN</t>
        </is>
      </c>
      <c r="E14389" t="inlineStr">
        <is>
          <t>LEKSAND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2736-2025</t>
        </is>
      </c>
      <c r="B14390" s="1" t="n">
        <v>45677</v>
      </c>
      <c r="C14390" s="1" t="n">
        <v>45706</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45706</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45706</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45706</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45706</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2914-2025</t>
        </is>
      </c>
      <c r="B14395" s="1" t="n">
        <v>45677</v>
      </c>
      <c r="C14395" s="1" t="n">
        <v>45706</v>
      </c>
      <c r="D14395" t="inlineStr">
        <is>
          <t>DALARNAS LÄN</t>
        </is>
      </c>
      <c r="E14395" t="inlineStr">
        <is>
          <t>ORSA</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2913-2025</t>
        </is>
      </c>
      <c r="B14396" s="1" t="n">
        <v>45677</v>
      </c>
      <c r="C14396" s="1" t="n">
        <v>45706</v>
      </c>
      <c r="D14396" t="inlineStr">
        <is>
          <t>DALARNAS LÄN</t>
        </is>
      </c>
      <c r="E14396" t="inlineStr">
        <is>
          <t>ORSA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2936-2025</t>
        </is>
      </c>
      <c r="B14397" s="1" t="n">
        <v>45678</v>
      </c>
      <c r="C14397" s="1" t="n">
        <v>45706</v>
      </c>
      <c r="D14397" t="inlineStr">
        <is>
          <t>DALARNAS LÄN</t>
        </is>
      </c>
      <c r="E14397" t="inlineStr">
        <is>
          <t>RÄTTVIK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2948-2025</t>
        </is>
      </c>
      <c r="B14398" s="1" t="n">
        <v>45678</v>
      </c>
      <c r="C14398" s="1" t="n">
        <v>45706</v>
      </c>
      <c r="D14398" t="inlineStr">
        <is>
          <t>DALARNAS LÄN</t>
        </is>
      </c>
      <c r="E14398" t="inlineStr">
        <is>
          <t>ORSA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45706</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2941-2025</t>
        </is>
      </c>
      <c r="B14400" s="1" t="n">
        <v>45678</v>
      </c>
      <c r="C14400" s="1" t="n">
        <v>45706</v>
      </c>
      <c r="D14400" t="inlineStr">
        <is>
          <t>DALARNAS LÄN</t>
        </is>
      </c>
      <c r="E14400" t="inlineStr">
        <is>
          <t>FALUN</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2993-2025</t>
        </is>
      </c>
      <c r="B14401" s="1" t="n">
        <v>45678</v>
      </c>
      <c r="C14401" s="1" t="n">
        <v>45706</v>
      </c>
      <c r="D14401" t="inlineStr">
        <is>
          <t>DALARNAS LÄN</t>
        </is>
      </c>
      <c r="E14401" t="inlineStr">
        <is>
          <t>FALUN</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3066-2025</t>
        </is>
      </c>
      <c r="B14402" s="1" t="n">
        <v>45678</v>
      </c>
      <c r="C14402" s="1" t="n">
        <v>45706</v>
      </c>
      <c r="D14402" t="inlineStr">
        <is>
          <t>DALARNAS LÄN</t>
        </is>
      </c>
      <c r="E14402" t="inlineStr">
        <is>
          <t>AVESTA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45706</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2994-2025</t>
        </is>
      </c>
      <c r="B14404" s="1" t="n">
        <v>45678</v>
      </c>
      <c r="C14404" s="1" t="n">
        <v>45706</v>
      </c>
      <c r="D14404" t="inlineStr">
        <is>
          <t>DALARNAS LÄN</t>
        </is>
      </c>
      <c r="E14404" t="inlineStr">
        <is>
          <t>VANSBRO</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3128-2025</t>
        </is>
      </c>
      <c r="B14405" s="1" t="n">
        <v>45678</v>
      </c>
      <c r="C14405" s="1" t="n">
        <v>45706</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3132-2025</t>
        </is>
      </c>
      <c r="B14406" s="1" t="n">
        <v>45678</v>
      </c>
      <c r="C14406" s="1" t="n">
        <v>45706</v>
      </c>
      <c r="D14406" t="inlineStr">
        <is>
          <t>DALARNAS LÄN</t>
        </is>
      </c>
      <c r="E14406" t="inlineStr">
        <is>
          <t>FALUN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2943-2025</t>
        </is>
      </c>
      <c r="B14407" s="1" t="n">
        <v>45678</v>
      </c>
      <c r="C14407" s="1" t="n">
        <v>45706</v>
      </c>
      <c r="D14407" t="inlineStr">
        <is>
          <t>DALARNAS LÄN</t>
        </is>
      </c>
      <c r="E14407" t="inlineStr">
        <is>
          <t>FALUN</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45706</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3133-2025</t>
        </is>
      </c>
      <c r="B14409" s="1" t="n">
        <v>45678</v>
      </c>
      <c r="C14409" s="1" t="n">
        <v>45706</v>
      </c>
      <c r="D14409" t="inlineStr">
        <is>
          <t>DALARNAS LÄN</t>
        </is>
      </c>
      <c r="E14409" t="inlineStr">
        <is>
          <t>FALUN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3172-2025</t>
        </is>
      </c>
      <c r="B14410" s="1" t="n">
        <v>45679</v>
      </c>
      <c r="C14410" s="1" t="n">
        <v>45706</v>
      </c>
      <c r="D14410" t="inlineStr">
        <is>
          <t>DALARNAS LÄN</t>
        </is>
      </c>
      <c r="E14410" t="inlineStr">
        <is>
          <t>MALUNG-SÄLEN</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3201-2025</t>
        </is>
      </c>
      <c r="B14411" s="1" t="n">
        <v>45679</v>
      </c>
      <c r="C14411" s="1" t="n">
        <v>45706</v>
      </c>
      <c r="D14411" t="inlineStr">
        <is>
          <t>DALARNAS LÄN</t>
        </is>
      </c>
      <c r="E14411" t="inlineStr">
        <is>
          <t>LEKSAND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3196-2025</t>
        </is>
      </c>
      <c r="B14412" s="1" t="n">
        <v>45679</v>
      </c>
      <c r="C14412" s="1" t="n">
        <v>45706</v>
      </c>
      <c r="D14412" t="inlineStr">
        <is>
          <t>DALARNAS LÄN</t>
        </is>
      </c>
      <c r="E14412" t="inlineStr">
        <is>
          <t>ÄLVDALEN</t>
        </is>
      </c>
      <c r="G14412" t="n">
        <v>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3170-2025</t>
        </is>
      </c>
      <c r="B14413" s="1" t="n">
        <v>45679</v>
      </c>
      <c r="C14413" s="1" t="n">
        <v>45706</v>
      </c>
      <c r="D14413" t="inlineStr">
        <is>
          <t>DALARNAS LÄN</t>
        </is>
      </c>
      <c r="E14413" t="inlineStr">
        <is>
          <t>LUDVIKA</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3198-2025</t>
        </is>
      </c>
      <c r="B14414" s="1" t="n">
        <v>45679</v>
      </c>
      <c r="C14414" s="1" t="n">
        <v>45706</v>
      </c>
      <c r="D14414" t="inlineStr">
        <is>
          <t>DALARNAS LÄN</t>
        </is>
      </c>
      <c r="E14414" t="inlineStr">
        <is>
          <t>LEKSAND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3167-2025</t>
        </is>
      </c>
      <c r="B14415" s="1" t="n">
        <v>45679</v>
      </c>
      <c r="C14415" s="1" t="n">
        <v>45706</v>
      </c>
      <c r="D14415" t="inlineStr">
        <is>
          <t>DALARNAS LÄN</t>
        </is>
      </c>
      <c r="E14415" t="inlineStr">
        <is>
          <t>VANSBRO</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3183-2025</t>
        </is>
      </c>
      <c r="B14416" s="1" t="n">
        <v>45679</v>
      </c>
      <c r="C14416" s="1" t="n">
        <v>45706</v>
      </c>
      <c r="D14416" t="inlineStr">
        <is>
          <t>DALARNAS LÄN</t>
        </is>
      </c>
      <c r="E14416" t="inlineStr">
        <is>
          <t>LEKSAND</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45706</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3261-2025</t>
        </is>
      </c>
      <c r="B14418" s="1" t="n">
        <v>45679</v>
      </c>
      <c r="C14418" s="1" t="n">
        <v>45706</v>
      </c>
      <c r="D14418" t="inlineStr">
        <is>
          <t>DALARNAS LÄN</t>
        </is>
      </c>
      <c r="E14418" t="inlineStr">
        <is>
          <t>RÄTTVIK</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3309-2025</t>
        </is>
      </c>
      <c r="B14419" s="1" t="n">
        <v>45679</v>
      </c>
      <c r="C14419" s="1" t="n">
        <v>45706</v>
      </c>
      <c r="D14419" t="inlineStr">
        <is>
          <t>DALARNAS LÄN</t>
        </is>
      </c>
      <c r="E14419" t="inlineStr">
        <is>
          <t>LEKSAND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3378-2025</t>
        </is>
      </c>
      <c r="B14420" s="1" t="n">
        <v>45680</v>
      </c>
      <c r="C14420" s="1" t="n">
        <v>45706</v>
      </c>
      <c r="D14420" t="inlineStr">
        <is>
          <t>DALARNAS LÄN</t>
        </is>
      </c>
      <c r="E14420" t="inlineStr">
        <is>
          <t>VANSBRO</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3468-2025</t>
        </is>
      </c>
      <c r="B14421" s="1" t="n">
        <v>45680</v>
      </c>
      <c r="C14421" s="1" t="n">
        <v>45706</v>
      </c>
      <c r="D14421" t="inlineStr">
        <is>
          <t>DALARNAS LÄN</t>
        </is>
      </c>
      <c r="E14421" t="inlineStr">
        <is>
          <t>LUDVIKA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3500-2025</t>
        </is>
      </c>
      <c r="B14422" s="1" t="n">
        <v>45680</v>
      </c>
      <c r="C14422" s="1" t="n">
        <v>45706</v>
      </c>
      <c r="D14422" t="inlineStr">
        <is>
          <t>DALARNAS LÄN</t>
        </is>
      </c>
      <c r="E14422" t="inlineStr">
        <is>
          <t>LEKSAND</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3411-2025</t>
        </is>
      </c>
      <c r="B14423" s="1" t="n">
        <v>45680</v>
      </c>
      <c r="C14423" s="1" t="n">
        <v>45706</v>
      </c>
      <c r="D14423" t="inlineStr">
        <is>
          <t>DALARNAS LÄN</t>
        </is>
      </c>
      <c r="E14423" t="inlineStr">
        <is>
          <t>GAGNEF</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3423-2025</t>
        </is>
      </c>
      <c r="B14424" s="1" t="n">
        <v>45680</v>
      </c>
      <c r="C14424" s="1" t="n">
        <v>45706</v>
      </c>
      <c r="D14424" t="inlineStr">
        <is>
          <t>DALARNAS LÄN</t>
        </is>
      </c>
      <c r="E14424" t="inlineStr">
        <is>
          <t>RÄTTVIK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3380-2025</t>
        </is>
      </c>
      <c r="B14425" s="1" t="n">
        <v>45680</v>
      </c>
      <c r="C14425" s="1" t="n">
        <v>45706</v>
      </c>
      <c r="D14425" t="inlineStr">
        <is>
          <t>DALARNAS LÄN</t>
        </is>
      </c>
      <c r="E14425" t="inlineStr">
        <is>
          <t>LUDVIKA</t>
        </is>
      </c>
      <c r="G14425" t="n">
        <v>11.9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3470-2025</t>
        </is>
      </c>
      <c r="B14426" s="1" t="n">
        <v>45680</v>
      </c>
      <c r="C14426" s="1" t="n">
        <v>45706</v>
      </c>
      <c r="D14426" t="inlineStr">
        <is>
          <t>DALARNAS LÄN</t>
        </is>
      </c>
      <c r="E14426" t="inlineStr">
        <is>
          <t>LUDVIKA</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3474-2025</t>
        </is>
      </c>
      <c r="B14427" s="1" t="n">
        <v>45680</v>
      </c>
      <c r="C14427" s="1" t="n">
        <v>45706</v>
      </c>
      <c r="D14427" t="inlineStr">
        <is>
          <t>DALARNAS LÄN</t>
        </is>
      </c>
      <c r="E14427" t="inlineStr">
        <is>
          <t>RÄTTVIK</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3482-2025</t>
        </is>
      </c>
      <c r="B14428" s="1" t="n">
        <v>45680</v>
      </c>
      <c r="C14428" s="1" t="n">
        <v>45706</v>
      </c>
      <c r="D14428" t="inlineStr">
        <is>
          <t>DALARNAS LÄN</t>
        </is>
      </c>
      <c r="E14428" t="inlineStr">
        <is>
          <t>VANSBRO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3510-2025</t>
        </is>
      </c>
      <c r="B14429" s="1" t="n">
        <v>45680</v>
      </c>
      <c r="C14429" s="1" t="n">
        <v>45706</v>
      </c>
      <c r="D14429" t="inlineStr">
        <is>
          <t>DALARNAS LÄN</t>
        </is>
      </c>
      <c r="E14429" t="inlineStr">
        <is>
          <t>GAGNEF</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3522-2025</t>
        </is>
      </c>
      <c r="B14430" s="1" t="n">
        <v>45680</v>
      </c>
      <c r="C14430" s="1" t="n">
        <v>45706</v>
      </c>
      <c r="D14430" t="inlineStr">
        <is>
          <t>DALARNAS LÄN</t>
        </is>
      </c>
      <c r="E14430" t="inlineStr">
        <is>
          <t>GAGNEF</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3391-2025</t>
        </is>
      </c>
      <c r="B14431" s="1" t="n">
        <v>45680</v>
      </c>
      <c r="C14431" s="1" t="n">
        <v>45706</v>
      </c>
      <c r="D14431" t="inlineStr">
        <is>
          <t>DALARNAS LÄN</t>
        </is>
      </c>
      <c r="E14431" t="inlineStr">
        <is>
          <t>LUDVIKA</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3485-2025</t>
        </is>
      </c>
      <c r="B14432" s="1" t="n">
        <v>45680</v>
      </c>
      <c r="C14432" s="1" t="n">
        <v>45706</v>
      </c>
      <c r="D14432" t="inlineStr">
        <is>
          <t>DALARNAS LÄN</t>
        </is>
      </c>
      <c r="E14432" t="inlineStr">
        <is>
          <t>RÄTTVIK</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3509-2025</t>
        </is>
      </c>
      <c r="B14433" s="1" t="n">
        <v>45680</v>
      </c>
      <c r="C14433" s="1" t="n">
        <v>45706</v>
      </c>
      <c r="D14433" t="inlineStr">
        <is>
          <t>DALARNAS LÄN</t>
        </is>
      </c>
      <c r="E14433" t="inlineStr">
        <is>
          <t>GAGNEF</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3723-2025</t>
        </is>
      </c>
      <c r="B14434" s="1" t="n">
        <v>45681</v>
      </c>
      <c r="C14434" s="1" t="n">
        <v>45706</v>
      </c>
      <c r="D14434" t="inlineStr">
        <is>
          <t>DALARNAS LÄN</t>
        </is>
      </c>
      <c r="E14434" t="inlineStr">
        <is>
          <t>AVESTA</t>
        </is>
      </c>
      <c r="G14434" t="n">
        <v>15.3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3593-2025</t>
        </is>
      </c>
      <c r="B14435" s="1" t="n">
        <v>45681</v>
      </c>
      <c r="C14435" s="1" t="n">
        <v>45706</v>
      </c>
      <c r="D14435" t="inlineStr">
        <is>
          <t>DALARNAS LÄN</t>
        </is>
      </c>
      <c r="E14435" t="inlineStr">
        <is>
          <t>HEDEMORA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3642-2025</t>
        </is>
      </c>
      <c r="B14436" s="1" t="n">
        <v>45681</v>
      </c>
      <c r="C14436" s="1" t="n">
        <v>45706</v>
      </c>
      <c r="D14436" t="inlineStr">
        <is>
          <t>DALARNAS LÄN</t>
        </is>
      </c>
      <c r="E14436" t="inlineStr">
        <is>
          <t>GAGNEF</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3825-2025</t>
        </is>
      </c>
      <c r="B14437" s="1" t="n">
        <v>45681</v>
      </c>
      <c r="C14437" s="1" t="n">
        <v>45706</v>
      </c>
      <c r="D14437" t="inlineStr">
        <is>
          <t>DALARNAS LÄN</t>
        </is>
      </c>
      <c r="E14437" t="inlineStr">
        <is>
          <t>HEDEMORA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45706</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45706</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45706</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45706</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3970-2025</t>
        </is>
      </c>
      <c r="B14442" s="1" t="n">
        <v>45684</v>
      </c>
      <c r="C14442" s="1" t="n">
        <v>45706</v>
      </c>
      <c r="D14442" t="inlineStr">
        <is>
          <t>DALARNAS LÄN</t>
        </is>
      </c>
      <c r="E14442" t="inlineStr">
        <is>
          <t>SMEDJEBACKEN</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3990-2025</t>
        </is>
      </c>
      <c r="B14443" s="1" t="n">
        <v>45684</v>
      </c>
      <c r="C14443" s="1" t="n">
        <v>45706</v>
      </c>
      <c r="D14443" t="inlineStr">
        <is>
          <t>DALARNAS LÄN</t>
        </is>
      </c>
      <c r="E14443" t="inlineStr">
        <is>
          <t>AVESTA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4015-2025</t>
        </is>
      </c>
      <c r="B14444" s="1" t="n">
        <v>45684</v>
      </c>
      <c r="C14444" s="1" t="n">
        <v>45706</v>
      </c>
      <c r="D14444" t="inlineStr">
        <is>
          <t>DALARNAS LÄN</t>
        </is>
      </c>
      <c r="E14444" t="inlineStr">
        <is>
          <t>RÄTTVIK</t>
        </is>
      </c>
      <c r="G14444" t="n">
        <v>8.4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3940-2025</t>
        </is>
      </c>
      <c r="B14445" s="1" t="n">
        <v>45684</v>
      </c>
      <c r="C14445" s="1" t="n">
        <v>45706</v>
      </c>
      <c r="D14445" t="inlineStr">
        <is>
          <t>DALARNAS LÄN</t>
        </is>
      </c>
      <c r="E14445" t="inlineStr">
        <is>
          <t>HEDEMORA</t>
        </is>
      </c>
      <c r="G14445" t="n">
        <v>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4074-2025</t>
        </is>
      </c>
      <c r="B14446" s="1" t="n">
        <v>45684</v>
      </c>
      <c r="C14446" s="1" t="n">
        <v>45706</v>
      </c>
      <c r="D14446" t="inlineStr">
        <is>
          <t>DALARNAS LÄN</t>
        </is>
      </c>
      <c r="E14446" t="inlineStr">
        <is>
          <t>MALUNG-SÄLEN</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3880-2025</t>
        </is>
      </c>
      <c r="B14447" s="1" t="n">
        <v>45684</v>
      </c>
      <c r="C14447" s="1" t="n">
        <v>45706</v>
      </c>
      <c r="D14447" t="inlineStr">
        <is>
          <t>DALARNAS LÄN</t>
        </is>
      </c>
      <c r="E14447" t="inlineStr">
        <is>
          <t>MALUNG-SÄLEN</t>
        </is>
      </c>
      <c r="G14447" t="n">
        <v>7.1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3942-2025</t>
        </is>
      </c>
      <c r="B14448" s="1" t="n">
        <v>45684</v>
      </c>
      <c r="C14448" s="1" t="n">
        <v>45706</v>
      </c>
      <c r="D14448" t="inlineStr">
        <is>
          <t>DALARNAS LÄN</t>
        </is>
      </c>
      <c r="E14448" t="inlineStr">
        <is>
          <t>HEDEMORA</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45706</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45706</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45706</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4204-2025</t>
        </is>
      </c>
      <c r="B14452" s="1" t="n">
        <v>45685</v>
      </c>
      <c r="C14452" s="1" t="n">
        <v>45706</v>
      </c>
      <c r="D14452" t="inlineStr">
        <is>
          <t>DALARNAS LÄN</t>
        </is>
      </c>
      <c r="E14452" t="inlineStr">
        <is>
          <t>ORSA</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4170-2025</t>
        </is>
      </c>
      <c r="B14453" s="1" t="n">
        <v>45685</v>
      </c>
      <c r="C14453" s="1" t="n">
        <v>45706</v>
      </c>
      <c r="D14453" t="inlineStr">
        <is>
          <t>DALARNAS LÄN</t>
        </is>
      </c>
      <c r="E14453" t="inlineStr">
        <is>
          <t>LUDVIKA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4257-2025</t>
        </is>
      </c>
      <c r="B14454" s="1" t="n">
        <v>45685</v>
      </c>
      <c r="C14454" s="1" t="n">
        <v>45706</v>
      </c>
      <c r="D14454" t="inlineStr">
        <is>
          <t>DALARNAS LÄN</t>
        </is>
      </c>
      <c r="E14454" t="inlineStr">
        <is>
          <t>SMEDJEBACKEN</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4291-2025</t>
        </is>
      </c>
      <c r="B14455" s="1" t="n">
        <v>45685</v>
      </c>
      <c r="C14455" s="1" t="n">
        <v>45706</v>
      </c>
      <c r="D14455" t="inlineStr">
        <is>
          <t>DALARNAS LÄN</t>
        </is>
      </c>
      <c r="E14455" t="inlineStr">
        <is>
          <t>VANSBRO</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4295-2025</t>
        </is>
      </c>
      <c r="B14456" s="1" t="n">
        <v>45685</v>
      </c>
      <c r="C14456" s="1" t="n">
        <v>45706</v>
      </c>
      <c r="D14456" t="inlineStr">
        <is>
          <t>DALARNAS LÄN</t>
        </is>
      </c>
      <c r="E14456" t="inlineStr">
        <is>
          <t>SMEDJEBACKEN</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4294-2025</t>
        </is>
      </c>
      <c r="B14457" s="1" t="n">
        <v>45685</v>
      </c>
      <c r="C14457" s="1" t="n">
        <v>45706</v>
      </c>
      <c r="D14457" t="inlineStr">
        <is>
          <t>DALARNAS LÄN</t>
        </is>
      </c>
      <c r="E14457" t="inlineStr">
        <is>
          <t>FALUN</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45706</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45706</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45706</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4449-2025</t>
        </is>
      </c>
      <c r="B14461" s="1" t="n">
        <v>45686</v>
      </c>
      <c r="C14461" s="1" t="n">
        <v>45706</v>
      </c>
      <c r="D14461" t="inlineStr">
        <is>
          <t>DALARNAS LÄN</t>
        </is>
      </c>
      <c r="E14461" t="inlineStr">
        <is>
          <t>AVESTA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45706</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4544-2025</t>
        </is>
      </c>
      <c r="B14463" s="1" t="n">
        <v>45687</v>
      </c>
      <c r="C14463" s="1" t="n">
        <v>45706</v>
      </c>
      <c r="D14463" t="inlineStr">
        <is>
          <t>DALARNAS LÄN</t>
        </is>
      </c>
      <c r="E14463" t="inlineStr">
        <is>
          <t>LUDVIKA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4550-2025</t>
        </is>
      </c>
      <c r="B14464" s="1" t="n">
        <v>45687</v>
      </c>
      <c r="C14464" s="1" t="n">
        <v>45706</v>
      </c>
      <c r="D14464" t="inlineStr">
        <is>
          <t>DALARNAS LÄN</t>
        </is>
      </c>
      <c r="E14464" t="inlineStr">
        <is>
          <t>LUDVIKA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4567-2025</t>
        </is>
      </c>
      <c r="B14465" s="1" t="n">
        <v>45687</v>
      </c>
      <c r="C14465" s="1" t="n">
        <v>45706</v>
      </c>
      <c r="D14465" t="inlineStr">
        <is>
          <t>DALARNAS LÄN</t>
        </is>
      </c>
      <c r="E14465" t="inlineStr">
        <is>
          <t>MALUNG-SÄLEN</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4616-2025</t>
        </is>
      </c>
      <c r="B14466" s="1" t="n">
        <v>45687</v>
      </c>
      <c r="C14466" s="1" t="n">
        <v>45706</v>
      </c>
      <c r="D14466" t="inlineStr">
        <is>
          <t>DALARNAS LÄN</t>
        </is>
      </c>
      <c r="E14466" t="inlineStr">
        <is>
          <t>AVESTA</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4613-2025</t>
        </is>
      </c>
      <c r="B14467" s="1" t="n">
        <v>45687</v>
      </c>
      <c r="C14467" s="1" t="n">
        <v>45706</v>
      </c>
      <c r="D14467" t="inlineStr">
        <is>
          <t>DALARNAS LÄN</t>
        </is>
      </c>
      <c r="E14467" t="inlineStr">
        <is>
          <t>MALUNG-SÄLEN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4533-2025</t>
        </is>
      </c>
      <c r="B14468" s="1" t="n">
        <v>45687</v>
      </c>
      <c r="C14468" s="1" t="n">
        <v>45706</v>
      </c>
      <c r="D14468" t="inlineStr">
        <is>
          <t>DALARNAS LÄN</t>
        </is>
      </c>
      <c r="E14468" t="inlineStr">
        <is>
          <t>FALUN</t>
        </is>
      </c>
      <c r="F14468" t="inlineStr">
        <is>
          <t>Bergvik skog väst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4553-2025</t>
        </is>
      </c>
      <c r="B14469" s="1" t="n">
        <v>45687</v>
      </c>
      <c r="C14469" s="1" t="n">
        <v>45706</v>
      </c>
      <c r="D14469" t="inlineStr">
        <is>
          <t>DALARNAS LÄN</t>
        </is>
      </c>
      <c r="E14469" t="inlineStr">
        <is>
          <t>ORSA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4566-2025</t>
        </is>
      </c>
      <c r="B14470" s="1" t="n">
        <v>45687</v>
      </c>
      <c r="C14470" s="1" t="n">
        <v>45706</v>
      </c>
      <c r="D14470" t="inlineStr">
        <is>
          <t>DALARNAS LÄN</t>
        </is>
      </c>
      <c r="E14470" t="inlineStr">
        <is>
          <t>ORSA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45706</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45706</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45706</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4760-2025</t>
        </is>
      </c>
      <c r="B14474" s="1" t="n">
        <v>45688</v>
      </c>
      <c r="C14474" s="1" t="n">
        <v>45706</v>
      </c>
      <c r="D14474" t="inlineStr">
        <is>
          <t>DALARNAS LÄN</t>
        </is>
      </c>
      <c r="E14474" t="inlineStr">
        <is>
          <t>VANSBRO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4764-2025</t>
        </is>
      </c>
      <c r="B14475" s="1" t="n">
        <v>45688</v>
      </c>
      <c r="C14475" s="1" t="n">
        <v>45706</v>
      </c>
      <c r="D14475" t="inlineStr">
        <is>
          <t>DALARNAS LÄN</t>
        </is>
      </c>
      <c r="E14475" t="inlineStr">
        <is>
          <t>MORA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4768-2025</t>
        </is>
      </c>
      <c r="B14476" s="1" t="n">
        <v>45688</v>
      </c>
      <c r="C14476" s="1" t="n">
        <v>45706</v>
      </c>
      <c r="D14476" t="inlineStr">
        <is>
          <t>DALARNAS LÄN</t>
        </is>
      </c>
      <c r="E14476" t="inlineStr">
        <is>
          <t>MORA</t>
        </is>
      </c>
      <c r="G14476" t="n">
        <v>7.3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4772-2025</t>
        </is>
      </c>
      <c r="B14477" s="1" t="n">
        <v>45688</v>
      </c>
      <c r="C14477" s="1" t="n">
        <v>45706</v>
      </c>
      <c r="D14477" t="inlineStr">
        <is>
          <t>DALARNAS LÄN</t>
        </is>
      </c>
      <c r="E14477" t="inlineStr">
        <is>
          <t>LUDVIKA</t>
        </is>
      </c>
      <c r="G14477" t="n">
        <v>15.9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4721-2025</t>
        </is>
      </c>
      <c r="B14478" s="1" t="n">
        <v>45688</v>
      </c>
      <c r="C14478" s="1" t="n">
        <v>45706</v>
      </c>
      <c r="D14478" t="inlineStr">
        <is>
          <t>DALARNAS LÄN</t>
        </is>
      </c>
      <c r="E14478" t="inlineStr">
        <is>
          <t>SMEDJEBACKEN</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45706</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4794-2025</t>
        </is>
      </c>
      <c r="B14480" s="1" t="n">
        <v>45688</v>
      </c>
      <c r="C14480" s="1" t="n">
        <v>45706</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45706</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45706</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4954-2025</t>
        </is>
      </c>
      <c r="B14483" s="1" t="n">
        <v>45689</v>
      </c>
      <c r="C14483" s="1" t="n">
        <v>45706</v>
      </c>
      <c r="D14483" t="inlineStr">
        <is>
          <t>DALARNAS LÄN</t>
        </is>
      </c>
      <c r="E14483" t="inlineStr">
        <is>
          <t>VANSBRO</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45706</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4951-2025</t>
        </is>
      </c>
      <c r="B14485" s="1" t="n">
        <v>45689</v>
      </c>
      <c r="C14485" s="1" t="n">
        <v>45706</v>
      </c>
      <c r="D14485" t="inlineStr">
        <is>
          <t>DALARNAS LÄN</t>
        </is>
      </c>
      <c r="E14485" t="inlineStr">
        <is>
          <t>VANSBRO</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4955-2025</t>
        </is>
      </c>
      <c r="B14486" s="1" t="n">
        <v>45689</v>
      </c>
      <c r="C14486" s="1" t="n">
        <v>45706</v>
      </c>
      <c r="D14486" t="inlineStr">
        <is>
          <t>DALARNAS LÄN</t>
        </is>
      </c>
      <c r="E14486" t="inlineStr">
        <is>
          <t>VANSBRO</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45706</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45706</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45706</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45706</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5063-2025</t>
        </is>
      </c>
      <c r="B14491" s="1" t="n">
        <v>45691</v>
      </c>
      <c r="C14491" s="1" t="n">
        <v>45706</v>
      </c>
      <c r="D14491" t="inlineStr">
        <is>
          <t>DALARNAS LÄN</t>
        </is>
      </c>
      <c r="E14491" t="inlineStr">
        <is>
          <t>ÄLVDALEN</t>
        </is>
      </c>
      <c r="F14491" t="inlineStr">
        <is>
          <t>Bergvik skog väst AB</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5216-2025</t>
        </is>
      </c>
      <c r="B14492" s="1" t="n">
        <v>45691</v>
      </c>
      <c r="C14492" s="1" t="n">
        <v>45706</v>
      </c>
      <c r="D14492" t="inlineStr">
        <is>
          <t>DALARNAS LÄN</t>
        </is>
      </c>
      <c r="E14492" t="inlineStr">
        <is>
          <t>MORA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5017-2025</t>
        </is>
      </c>
      <c r="B14493" s="1" t="n">
        <v>45691</v>
      </c>
      <c r="C14493" s="1" t="n">
        <v>45706</v>
      </c>
      <c r="D14493" t="inlineStr">
        <is>
          <t>DALARNAS LÄN</t>
        </is>
      </c>
      <c r="E14493" t="inlineStr">
        <is>
          <t>VANSBRO</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45706</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5343-2025</t>
        </is>
      </c>
      <c r="B14495" s="1" t="n">
        <v>45692</v>
      </c>
      <c r="C14495" s="1" t="n">
        <v>45706</v>
      </c>
      <c r="D14495" t="inlineStr">
        <is>
          <t>DALARNAS LÄN</t>
        </is>
      </c>
      <c r="E14495" t="inlineStr">
        <is>
          <t>GAGNEF</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5387-2025</t>
        </is>
      </c>
      <c r="B14496" s="1" t="n">
        <v>45692</v>
      </c>
      <c r="C14496" s="1" t="n">
        <v>45706</v>
      </c>
      <c r="D14496" t="inlineStr">
        <is>
          <t>DALARNAS LÄN</t>
        </is>
      </c>
      <c r="E14496" t="inlineStr">
        <is>
          <t>FALUN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5399-2025</t>
        </is>
      </c>
      <c r="B14497" s="1" t="n">
        <v>45692</v>
      </c>
      <c r="C14497" s="1" t="n">
        <v>45706</v>
      </c>
      <c r="D14497" t="inlineStr">
        <is>
          <t>DALARNAS LÄN</t>
        </is>
      </c>
      <c r="E14497" t="inlineStr">
        <is>
          <t>MALUNG-SÄLEN</t>
        </is>
      </c>
      <c r="G14497" t="n">
        <v>11.4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45706</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45706</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5418-2025</t>
        </is>
      </c>
      <c r="B14500" s="1" t="n">
        <v>45692</v>
      </c>
      <c r="C14500" s="1" t="n">
        <v>45706</v>
      </c>
      <c r="D14500" t="inlineStr">
        <is>
          <t>DALARNAS LÄN</t>
        </is>
      </c>
      <c r="E14500" t="inlineStr">
        <is>
          <t>MORA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5294-2025</t>
        </is>
      </c>
      <c r="B14501" s="1" t="n">
        <v>45692</v>
      </c>
      <c r="C14501" s="1" t="n">
        <v>45706</v>
      </c>
      <c r="D14501" t="inlineStr">
        <is>
          <t>DALARNAS LÄN</t>
        </is>
      </c>
      <c r="E14501" t="inlineStr">
        <is>
          <t>GAGNEF</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5311-2025</t>
        </is>
      </c>
      <c r="B14502" s="1" t="n">
        <v>45692</v>
      </c>
      <c r="C14502" s="1" t="n">
        <v>45706</v>
      </c>
      <c r="D14502" t="inlineStr">
        <is>
          <t>DALARNAS LÄN</t>
        </is>
      </c>
      <c r="E14502" t="inlineStr">
        <is>
          <t>FALUN</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5384-2025</t>
        </is>
      </c>
      <c r="B14503" s="1" t="n">
        <v>45692</v>
      </c>
      <c r="C14503" s="1" t="n">
        <v>45706</v>
      </c>
      <c r="D14503" t="inlineStr">
        <is>
          <t>DALARNAS LÄN</t>
        </is>
      </c>
      <c r="E14503" t="inlineStr">
        <is>
          <t>BORLÄNGE</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5453-2025</t>
        </is>
      </c>
      <c r="B14504" s="1" t="n">
        <v>45692</v>
      </c>
      <c r="C14504" s="1" t="n">
        <v>45706</v>
      </c>
      <c r="D14504" t="inlineStr">
        <is>
          <t>DALARNAS LÄN</t>
        </is>
      </c>
      <c r="E14504" t="inlineStr">
        <is>
          <t>LEKSAND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5529-2025</t>
        </is>
      </c>
      <c r="B14505" s="1" t="n">
        <v>45693</v>
      </c>
      <c r="C14505" s="1" t="n">
        <v>45706</v>
      </c>
      <c r="D14505" t="inlineStr">
        <is>
          <t>DALARNAS LÄN</t>
        </is>
      </c>
      <c r="E14505" t="inlineStr">
        <is>
          <t>BORLÄNGE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5583-2025</t>
        </is>
      </c>
      <c r="B14506" s="1" t="n">
        <v>45693</v>
      </c>
      <c r="C14506" s="1" t="n">
        <v>45706</v>
      </c>
      <c r="D14506" t="inlineStr">
        <is>
          <t>DALARNAS LÄN</t>
        </is>
      </c>
      <c r="E14506" t="inlineStr">
        <is>
          <t>ÄLVDALEN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45706</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45706</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5666-2025</t>
        </is>
      </c>
      <c r="B14509" s="1" t="n">
        <v>45693</v>
      </c>
      <c r="C14509" s="1" t="n">
        <v>45706</v>
      </c>
      <c r="D14509" t="inlineStr">
        <is>
          <t>DALARNAS LÄN</t>
        </is>
      </c>
      <c r="E14509" t="inlineStr">
        <is>
          <t>FALUN</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45706</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5689-2025</t>
        </is>
      </c>
      <c r="B14511" s="1" t="n">
        <v>45694</v>
      </c>
      <c r="C14511" s="1" t="n">
        <v>45706</v>
      </c>
      <c r="D14511" t="inlineStr">
        <is>
          <t>DALARNAS LÄN</t>
        </is>
      </c>
      <c r="E14511" t="inlineStr">
        <is>
          <t>AVESTA</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5733-2025</t>
        </is>
      </c>
      <c r="B14512" s="1" t="n">
        <v>45694</v>
      </c>
      <c r="C14512" s="1" t="n">
        <v>45706</v>
      </c>
      <c r="D14512" t="inlineStr">
        <is>
          <t>DALARNAS LÄN</t>
        </is>
      </c>
      <c r="E14512" t="inlineStr">
        <is>
          <t>FALUN</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5690-2025</t>
        </is>
      </c>
      <c r="B14513" s="1" t="n">
        <v>45694</v>
      </c>
      <c r="C14513" s="1" t="n">
        <v>45706</v>
      </c>
      <c r="D14513" t="inlineStr">
        <is>
          <t>DALARNAS LÄN</t>
        </is>
      </c>
      <c r="E14513" t="inlineStr">
        <is>
          <t>RÄTTVIK</t>
        </is>
      </c>
      <c r="F14513" t="inlineStr">
        <is>
          <t>Bergvik skog väst AB</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45706</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5747-2025</t>
        </is>
      </c>
      <c r="B14515" s="1" t="n">
        <v>45694</v>
      </c>
      <c r="C14515" s="1" t="n">
        <v>45706</v>
      </c>
      <c r="D14515" t="inlineStr">
        <is>
          <t>DALARNAS LÄN</t>
        </is>
      </c>
      <c r="E14515" t="inlineStr">
        <is>
          <t>SÄTER</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5769-2025</t>
        </is>
      </c>
      <c r="B14516" s="1" t="n">
        <v>45694</v>
      </c>
      <c r="C14516" s="1" t="n">
        <v>45706</v>
      </c>
      <c r="D14516" t="inlineStr">
        <is>
          <t>DALARNAS LÄN</t>
        </is>
      </c>
      <c r="E14516" t="inlineStr">
        <is>
          <t>MORA</t>
        </is>
      </c>
      <c r="G14516" t="n">
        <v>15.7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5802-2025</t>
        </is>
      </c>
      <c r="B14517" s="1" t="n">
        <v>45694</v>
      </c>
      <c r="C14517" s="1" t="n">
        <v>45706</v>
      </c>
      <c r="D14517" t="inlineStr">
        <is>
          <t>DALARNAS LÄN</t>
        </is>
      </c>
      <c r="E14517" t="inlineStr">
        <is>
          <t>BORLÄNGE</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5815-2025</t>
        </is>
      </c>
      <c r="B14518" s="1" t="n">
        <v>45694</v>
      </c>
      <c r="C14518" s="1" t="n">
        <v>45706</v>
      </c>
      <c r="D14518" t="inlineStr">
        <is>
          <t>DALARNAS LÄN</t>
        </is>
      </c>
      <c r="E14518" t="inlineStr">
        <is>
          <t>ORSA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5738-2025</t>
        </is>
      </c>
      <c r="B14519" s="1" t="n">
        <v>45694</v>
      </c>
      <c r="C14519" s="1" t="n">
        <v>45706</v>
      </c>
      <c r="D14519" t="inlineStr">
        <is>
          <t>DALARNAS LÄN</t>
        </is>
      </c>
      <c r="E14519" t="inlineStr">
        <is>
          <t>FALUN</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5766-2025</t>
        </is>
      </c>
      <c r="B14520" s="1" t="n">
        <v>45694</v>
      </c>
      <c r="C14520" s="1" t="n">
        <v>45706</v>
      </c>
      <c r="D14520" t="inlineStr">
        <is>
          <t>DALARNAS LÄN</t>
        </is>
      </c>
      <c r="E14520" t="inlineStr">
        <is>
          <t>HEDEMORA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5813-2025</t>
        </is>
      </c>
      <c r="B14521" s="1" t="n">
        <v>45694</v>
      </c>
      <c r="C14521" s="1" t="n">
        <v>45706</v>
      </c>
      <c r="D14521" t="inlineStr">
        <is>
          <t>DALARNAS LÄN</t>
        </is>
      </c>
      <c r="E14521" t="inlineStr">
        <is>
          <t>ÄLVDALEN</t>
        </is>
      </c>
      <c r="F14521" t="inlineStr">
        <is>
          <t>Övriga statliga verk och myndigheter</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5835-2025</t>
        </is>
      </c>
      <c r="B14522" s="1" t="n">
        <v>45694</v>
      </c>
      <c r="C14522" s="1" t="n">
        <v>45706</v>
      </c>
      <c r="D14522" t="inlineStr">
        <is>
          <t>DALARNAS LÄN</t>
        </is>
      </c>
      <c r="E14522" t="inlineStr">
        <is>
          <t>GAGNEF</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5837-2025</t>
        </is>
      </c>
      <c r="B14523" s="1" t="n">
        <v>45694</v>
      </c>
      <c r="C14523" s="1" t="n">
        <v>45706</v>
      </c>
      <c r="D14523" t="inlineStr">
        <is>
          <t>DALARNAS LÄN</t>
        </is>
      </c>
      <c r="E14523" t="inlineStr">
        <is>
          <t>MALUNG-SÄLEN</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45706</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45706</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5921-2025</t>
        </is>
      </c>
      <c r="B14526" s="1" t="n">
        <v>45695</v>
      </c>
      <c r="C14526" s="1" t="n">
        <v>45706</v>
      </c>
      <c r="D14526" t="inlineStr">
        <is>
          <t>DALARNAS LÄN</t>
        </is>
      </c>
      <c r="E14526" t="inlineStr">
        <is>
          <t>ORSA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5980-2025</t>
        </is>
      </c>
      <c r="B14527" s="1" t="n">
        <v>45695</v>
      </c>
      <c r="C14527" s="1" t="n">
        <v>45706</v>
      </c>
      <c r="D14527" t="inlineStr">
        <is>
          <t>DALARNAS LÄN</t>
        </is>
      </c>
      <c r="E14527" t="inlineStr">
        <is>
          <t>MORA</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6030-2025</t>
        </is>
      </c>
      <c r="B14528" s="1" t="n">
        <v>45695</v>
      </c>
      <c r="C14528" s="1" t="n">
        <v>45706</v>
      </c>
      <c r="D14528" t="inlineStr">
        <is>
          <t>DALARNAS LÄN</t>
        </is>
      </c>
      <c r="E14528" t="inlineStr">
        <is>
          <t>LEKSAND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5953-2025</t>
        </is>
      </c>
      <c r="B14529" s="1" t="n">
        <v>45695</v>
      </c>
      <c r="C14529" s="1" t="n">
        <v>45706</v>
      </c>
      <c r="D14529" t="inlineStr">
        <is>
          <t>DALARNAS LÄN</t>
        </is>
      </c>
      <c r="E14529" t="inlineStr">
        <is>
          <t>RÄTTVIK</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5873-2025</t>
        </is>
      </c>
      <c r="B14530" s="1" t="n">
        <v>45695</v>
      </c>
      <c r="C14530" s="1" t="n">
        <v>45706</v>
      </c>
      <c r="D14530" t="inlineStr">
        <is>
          <t>DALARNAS LÄN</t>
        </is>
      </c>
      <c r="E14530" t="inlineStr">
        <is>
          <t>LEKSAND</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5922-2025</t>
        </is>
      </c>
      <c r="B14531" s="1" t="n">
        <v>45695</v>
      </c>
      <c r="C14531" s="1" t="n">
        <v>45706</v>
      </c>
      <c r="D14531" t="inlineStr">
        <is>
          <t>DALARNAS LÄN</t>
        </is>
      </c>
      <c r="E14531" t="inlineStr">
        <is>
          <t>MORA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6027-2025</t>
        </is>
      </c>
      <c r="B14532" s="1" t="n">
        <v>45695</v>
      </c>
      <c r="C14532" s="1" t="n">
        <v>45706</v>
      </c>
      <c r="D14532" t="inlineStr">
        <is>
          <t>DALARNAS LÄN</t>
        </is>
      </c>
      <c r="E14532" t="inlineStr">
        <is>
          <t>LEKSAND</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6010-2025</t>
        </is>
      </c>
      <c r="B14533" s="1" t="n">
        <v>45695</v>
      </c>
      <c r="C14533" s="1" t="n">
        <v>45706</v>
      </c>
      <c r="D14533" t="inlineStr">
        <is>
          <t>DALARNAS LÄN</t>
        </is>
      </c>
      <c r="E14533" t="inlineStr">
        <is>
          <t>FALUN</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6177-2025</t>
        </is>
      </c>
      <c r="B14534" s="1" t="n">
        <v>45698</v>
      </c>
      <c r="C14534" s="1" t="n">
        <v>45706</v>
      </c>
      <c r="D14534" t="inlineStr">
        <is>
          <t>DALARNAS LÄN</t>
        </is>
      </c>
      <c r="E14534" t="inlineStr">
        <is>
          <t>SMEDJEBACKEN</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6280-2025</t>
        </is>
      </c>
      <c r="B14535" s="1" t="n">
        <v>45698</v>
      </c>
      <c r="C14535" s="1" t="n">
        <v>45706</v>
      </c>
      <c r="D14535" t="inlineStr">
        <is>
          <t>DALARNAS LÄN</t>
        </is>
      </c>
      <c r="E14535" t="inlineStr">
        <is>
          <t>SMEDJEBACKEN</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6171-2025</t>
        </is>
      </c>
      <c r="B14536" s="1" t="n">
        <v>45698</v>
      </c>
      <c r="C14536" s="1" t="n">
        <v>45706</v>
      </c>
      <c r="D14536" t="inlineStr">
        <is>
          <t>DALARNAS LÄN</t>
        </is>
      </c>
      <c r="E14536" t="inlineStr">
        <is>
          <t>ORSA</t>
        </is>
      </c>
      <c r="G14536" t="n">
        <v>11.1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6349-2025</t>
        </is>
      </c>
      <c r="B14537" s="1" t="n">
        <v>45699</v>
      </c>
      <c r="C14537" s="1" t="n">
        <v>45706</v>
      </c>
      <c r="D14537" t="inlineStr">
        <is>
          <t>DALARNAS LÄN</t>
        </is>
      </c>
      <c r="E14537" t="inlineStr">
        <is>
          <t>GAGNEF</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6519-2025</t>
        </is>
      </c>
      <c r="B14538" s="1" t="n">
        <v>45699</v>
      </c>
      <c r="C14538" s="1" t="n">
        <v>45706</v>
      </c>
      <c r="D14538" t="inlineStr">
        <is>
          <t>DALARNAS LÄN</t>
        </is>
      </c>
      <c r="E14538" t="inlineStr">
        <is>
          <t>LEKSAND</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6462-2025</t>
        </is>
      </c>
      <c r="B14539" s="1" t="n">
        <v>45699</v>
      </c>
      <c r="C14539" s="1" t="n">
        <v>45706</v>
      </c>
      <c r="D14539" t="inlineStr">
        <is>
          <t>DALARNAS LÄN</t>
        </is>
      </c>
      <c r="E14539" t="inlineStr">
        <is>
          <t>FALUN</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6520-2025</t>
        </is>
      </c>
      <c r="B14540" s="1" t="n">
        <v>45699</v>
      </c>
      <c r="C14540" s="1" t="n">
        <v>45706</v>
      </c>
      <c r="D14540" t="inlineStr">
        <is>
          <t>DALARNAS LÄN</t>
        </is>
      </c>
      <c r="E14540" t="inlineStr">
        <is>
          <t>MORA</t>
        </is>
      </c>
      <c r="G14540" t="n">
        <v>18.2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6601-2025</t>
        </is>
      </c>
      <c r="B14541" s="1" t="n">
        <v>45700</v>
      </c>
      <c r="C14541" s="1" t="n">
        <v>45706</v>
      </c>
      <c r="D14541" t="inlineStr">
        <is>
          <t>DALARNAS LÄN</t>
        </is>
      </c>
      <c r="E14541" t="inlineStr">
        <is>
          <t>SMEDJEBACKEN</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6606-2025</t>
        </is>
      </c>
      <c r="B14542" s="1" t="n">
        <v>45700</v>
      </c>
      <c r="C14542" s="1" t="n">
        <v>45706</v>
      </c>
      <c r="D14542" t="inlineStr">
        <is>
          <t>DALARNAS LÄN</t>
        </is>
      </c>
      <c r="E14542" t="inlineStr">
        <is>
          <t>SMEDJEBACKEN</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6643-2025</t>
        </is>
      </c>
      <c r="B14543" s="1" t="n">
        <v>45700</v>
      </c>
      <c r="C14543" s="1" t="n">
        <v>45706</v>
      </c>
      <c r="D14543" t="inlineStr">
        <is>
          <t>DALARNAS LÄN</t>
        </is>
      </c>
      <c r="E14543" t="inlineStr">
        <is>
          <t>VANSBRO</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6675-2025</t>
        </is>
      </c>
      <c r="B14544" s="1" t="n">
        <v>45700</v>
      </c>
      <c r="C14544" s="1" t="n">
        <v>45706</v>
      </c>
      <c r="D14544" t="inlineStr">
        <is>
          <t>DALARNAS LÄN</t>
        </is>
      </c>
      <c r="E14544" t="inlineStr">
        <is>
          <t>ÄLVDALEN</t>
        </is>
      </c>
      <c r="F14544" t="inlineStr">
        <is>
          <t>Allmännings- och besparingsskogar</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6699-2025</t>
        </is>
      </c>
      <c r="B14545" s="1" t="n">
        <v>45700</v>
      </c>
      <c r="C14545" s="1" t="n">
        <v>45706</v>
      </c>
      <c r="D14545" t="inlineStr">
        <is>
          <t>DALARNAS LÄN</t>
        </is>
      </c>
      <c r="E14545" t="inlineStr">
        <is>
          <t>RÄTTVIK</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6778-2025</t>
        </is>
      </c>
      <c r="B14546" s="1" t="n">
        <v>45700</v>
      </c>
      <c r="C14546" s="1" t="n">
        <v>45706</v>
      </c>
      <c r="D14546" t="inlineStr">
        <is>
          <t>DALARNAS LÄN</t>
        </is>
      </c>
      <c r="E14546" t="inlineStr">
        <is>
          <t>LEKSAND</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6791-2025</t>
        </is>
      </c>
      <c r="B14547" s="1" t="n">
        <v>45700</v>
      </c>
      <c r="C14547" s="1" t="n">
        <v>45706</v>
      </c>
      <c r="D14547" t="inlineStr">
        <is>
          <t>DALARNAS LÄN</t>
        </is>
      </c>
      <c r="E14547" t="inlineStr">
        <is>
          <t>ÄLVDALEN</t>
        </is>
      </c>
      <c r="G14547" t="n">
        <v>30.2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6640-2025</t>
        </is>
      </c>
      <c r="B14548" s="1" t="n">
        <v>45700</v>
      </c>
      <c r="C14548" s="1" t="n">
        <v>45706</v>
      </c>
      <c r="D14548" t="inlineStr">
        <is>
          <t>DALARNAS LÄN</t>
        </is>
      </c>
      <c r="E14548" t="inlineStr">
        <is>
          <t>SÄTER</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6604-2025</t>
        </is>
      </c>
      <c r="B14549" s="1" t="n">
        <v>45700</v>
      </c>
      <c r="C14549" s="1" t="n">
        <v>45706</v>
      </c>
      <c r="D14549" t="inlineStr">
        <is>
          <t>DALARNAS LÄN</t>
        </is>
      </c>
      <c r="E14549" t="inlineStr">
        <is>
          <t>SMEDJEBACKEN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6679-2025</t>
        </is>
      </c>
      <c r="B14550" s="1" t="n">
        <v>45700</v>
      </c>
      <c r="C14550" s="1" t="n">
        <v>45706</v>
      </c>
      <c r="D14550" t="inlineStr">
        <is>
          <t>DALARNAS LÄN</t>
        </is>
      </c>
      <c r="E14550" t="inlineStr">
        <is>
          <t>ÄLVDALEN</t>
        </is>
      </c>
      <c r="F14550" t="inlineStr">
        <is>
          <t>Allmännings- och besparingsskogar</t>
        </is>
      </c>
      <c r="G14550" t="n">
        <v>27.8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6951-2025</t>
        </is>
      </c>
      <c r="B14551" s="1" t="n">
        <v>45701</v>
      </c>
      <c r="C14551" s="1" t="n">
        <v>45706</v>
      </c>
      <c r="D14551" t="inlineStr">
        <is>
          <t>DALARNAS LÄN</t>
        </is>
      </c>
      <c r="E14551" t="inlineStr">
        <is>
          <t>MALUNG-SÄLEN</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6972-2025</t>
        </is>
      </c>
      <c r="B14552" s="1" t="n">
        <v>45701</v>
      </c>
      <c r="C14552" s="1" t="n">
        <v>45706</v>
      </c>
      <c r="D14552" t="inlineStr">
        <is>
          <t>DALARNAS LÄN</t>
        </is>
      </c>
      <c r="E14552" t="inlineStr">
        <is>
          <t>HEDEMORA</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7009-2025</t>
        </is>
      </c>
      <c r="B14553" s="1" t="n">
        <v>45701</v>
      </c>
      <c r="C14553" s="1" t="n">
        <v>45706</v>
      </c>
      <c r="D14553" t="inlineStr">
        <is>
          <t>DALARNAS LÄN</t>
        </is>
      </c>
      <c r="E14553" t="inlineStr">
        <is>
          <t>MALUNG-SÄLEN</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6979-2025</t>
        </is>
      </c>
      <c r="B14554" s="1" t="n">
        <v>45701</v>
      </c>
      <c r="C14554" s="1" t="n">
        <v>45706</v>
      </c>
      <c r="D14554" t="inlineStr">
        <is>
          <t>DALARNAS LÄN</t>
        </is>
      </c>
      <c r="E14554" t="inlineStr">
        <is>
          <t>MALUNG-SÄLEN</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7006-2025</t>
        </is>
      </c>
      <c r="B14555" s="1" t="n">
        <v>45701</v>
      </c>
      <c r="C14555" s="1" t="n">
        <v>45706</v>
      </c>
      <c r="D14555" t="inlineStr">
        <is>
          <t>DALARNAS LÄN</t>
        </is>
      </c>
      <c r="E14555" t="inlineStr">
        <is>
          <t>MALUNG-SÄLEN</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7052-2025</t>
        </is>
      </c>
      <c r="B14556" s="1" t="n">
        <v>45701</v>
      </c>
      <c r="C14556" s="1" t="n">
        <v>45706</v>
      </c>
      <c r="D14556" t="inlineStr">
        <is>
          <t>DALARNAS LÄN</t>
        </is>
      </c>
      <c r="E14556" t="inlineStr">
        <is>
          <t>HEDEMORA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7078-2025</t>
        </is>
      </c>
      <c r="B14557" s="1" t="n">
        <v>45701</v>
      </c>
      <c r="C14557" s="1" t="n">
        <v>45706</v>
      </c>
      <c r="D14557" t="inlineStr">
        <is>
          <t>DALARNAS LÄN</t>
        </is>
      </c>
      <c r="E14557" t="inlineStr">
        <is>
          <t>ÄLVDALEN</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7128-2025</t>
        </is>
      </c>
      <c r="B14558" s="1" t="n">
        <v>45702</v>
      </c>
      <c r="C14558" s="1" t="n">
        <v>45706</v>
      </c>
      <c r="D14558" t="inlineStr">
        <is>
          <t>DALARNAS LÄN</t>
        </is>
      </c>
      <c r="E14558" t="inlineStr">
        <is>
          <t>RÄTTVIK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7194-2025</t>
        </is>
      </c>
      <c r="B14559" s="1" t="n">
        <v>45702</v>
      </c>
      <c r="C14559" s="1" t="n">
        <v>45706</v>
      </c>
      <c r="D14559" t="inlineStr">
        <is>
          <t>DALARNAS LÄN</t>
        </is>
      </c>
      <c r="E14559" t="inlineStr">
        <is>
          <t>BORLÄNGE</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7219-2025</t>
        </is>
      </c>
      <c r="B14560" s="1" t="n">
        <v>45702</v>
      </c>
      <c r="C14560" s="1" t="n">
        <v>45706</v>
      </c>
      <c r="D14560" t="inlineStr">
        <is>
          <t>DALARNAS LÄN</t>
        </is>
      </c>
      <c r="E14560" t="inlineStr">
        <is>
          <t>ÄLVDALEN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7172-2025</t>
        </is>
      </c>
      <c r="B14561" s="1" t="n">
        <v>45702</v>
      </c>
      <c r="C14561" s="1" t="n">
        <v>45706</v>
      </c>
      <c r="D14561" t="inlineStr">
        <is>
          <t>DALARNAS LÄN</t>
        </is>
      </c>
      <c r="E14561" t="inlineStr">
        <is>
          <t>HEDEMORA</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7282-2025</t>
        </is>
      </c>
      <c r="B14562" s="1" t="n">
        <v>45702</v>
      </c>
      <c r="C14562" s="1" t="n">
        <v>45706</v>
      </c>
      <c r="D14562" t="inlineStr">
        <is>
          <t>DALARNAS LÄN</t>
        </is>
      </c>
      <c r="E14562" t="inlineStr">
        <is>
          <t>FALUN</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7217-2025</t>
        </is>
      </c>
      <c r="B14563" s="1" t="n">
        <v>45702</v>
      </c>
      <c r="C14563" s="1" t="n">
        <v>45706</v>
      </c>
      <c r="D14563" t="inlineStr">
        <is>
          <t>DALARNAS LÄN</t>
        </is>
      </c>
      <c r="E14563" t="inlineStr">
        <is>
          <t>ÄLVDALEN</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7275-2025</t>
        </is>
      </c>
      <c r="B14564" s="1" t="n">
        <v>45702</v>
      </c>
      <c r="C14564" s="1" t="n">
        <v>45706</v>
      </c>
      <c r="D14564" t="inlineStr">
        <is>
          <t>DALARNAS LÄN</t>
        </is>
      </c>
      <c r="E14564" t="inlineStr">
        <is>
          <t>SMEDJEBACKEN</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7320-2025</t>
        </is>
      </c>
      <c r="B14565" s="1" t="n">
        <v>45702</v>
      </c>
      <c r="C14565" s="1" t="n">
        <v>45706</v>
      </c>
      <c r="D14565" t="inlineStr">
        <is>
          <t>DALARNAS LÄN</t>
        </is>
      </c>
      <c r="E14565" t="inlineStr">
        <is>
          <t>AVESTA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7232-2025</t>
        </is>
      </c>
      <c r="B14566" s="1" t="n">
        <v>45702</v>
      </c>
      <c r="C14566" s="1" t="n">
        <v>45706</v>
      </c>
      <c r="D14566" t="inlineStr">
        <is>
          <t>DALARNAS LÄN</t>
        </is>
      </c>
      <c r="E14566" t="inlineStr">
        <is>
          <t>ÄLVDALEN</t>
        </is>
      </c>
      <c r="F14566" t="inlineStr">
        <is>
          <t>Allmännings- och besparingsskogar</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7236-2025</t>
        </is>
      </c>
      <c r="B14567" s="1" t="n">
        <v>45702</v>
      </c>
      <c r="C14567" s="1" t="n">
        <v>45706</v>
      </c>
      <c r="D14567" t="inlineStr">
        <is>
          <t>DALARNAS LÄN</t>
        </is>
      </c>
      <c r="E14567" t="inlineStr">
        <is>
          <t>LEKSAND</t>
        </is>
      </c>
      <c r="G14567" t="n">
        <v>6.3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7321-2025</t>
        </is>
      </c>
      <c r="B14568" s="1" t="n">
        <v>45702</v>
      </c>
      <c r="C14568" s="1" t="n">
        <v>45706</v>
      </c>
      <c r="D14568" t="inlineStr">
        <is>
          <t>DALARNAS LÄN</t>
        </is>
      </c>
      <c r="E14568" t="inlineStr">
        <is>
          <t>AVESTA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7412-2025</t>
        </is>
      </c>
      <c r="B14569" s="1" t="n">
        <v>45705</v>
      </c>
      <c r="C14569" s="1" t="n">
        <v>45706</v>
      </c>
      <c r="D14569" t="inlineStr">
        <is>
          <t>DALARNAS LÄN</t>
        </is>
      </c>
      <c r="E14569" t="inlineStr">
        <is>
          <t>SMEDJEBACKEN</t>
        </is>
      </c>
      <c r="G14569" t="n">
        <v>5.5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7511-2025</t>
        </is>
      </c>
      <c r="B14570" s="1" t="n">
        <v>45705</v>
      </c>
      <c r="C14570" s="1" t="n">
        <v>45706</v>
      </c>
      <c r="D14570" t="inlineStr">
        <is>
          <t>DALARNAS LÄN</t>
        </is>
      </c>
      <c r="E14570" t="inlineStr">
        <is>
          <t>ÄLVDALEN</t>
        </is>
      </c>
      <c r="F14570" t="inlineStr">
        <is>
          <t>Allmännings- och besparingsskogar</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7526-2025</t>
        </is>
      </c>
      <c r="B14571" s="1" t="n">
        <v>45705</v>
      </c>
      <c r="C14571" s="1" t="n">
        <v>45706</v>
      </c>
      <c r="D14571" t="inlineStr">
        <is>
          <t>DALARNAS LÄN</t>
        </is>
      </c>
      <c r="E14571" t="inlineStr">
        <is>
          <t>LUDVIKA</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7534-2025</t>
        </is>
      </c>
      <c r="B14572" s="1" t="n">
        <v>45705</v>
      </c>
      <c r="C14572" s="1" t="n">
        <v>45706</v>
      </c>
      <c r="D14572" t="inlineStr">
        <is>
          <t>DALARNAS LÄN</t>
        </is>
      </c>
      <c r="E14572" t="inlineStr">
        <is>
          <t>ORSA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7566-2025</t>
        </is>
      </c>
      <c r="B14573" s="1" t="n">
        <v>45705</v>
      </c>
      <c r="C14573" s="1" t="n">
        <v>45706</v>
      </c>
      <c r="D14573" t="inlineStr">
        <is>
          <t>DALARNAS LÄN</t>
        </is>
      </c>
      <c r="E14573" t="inlineStr">
        <is>
          <t>AVESTA</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7565-2025</t>
        </is>
      </c>
      <c r="B14574" s="1" t="n">
        <v>45705</v>
      </c>
      <c r="C14574" s="1" t="n">
        <v>45706</v>
      </c>
      <c r="D14574" t="inlineStr">
        <is>
          <t>DALARNAS LÄN</t>
        </is>
      </c>
      <c r="E14574" t="inlineStr">
        <is>
          <t>MORA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7573-2025</t>
        </is>
      </c>
      <c r="B14575" s="1" t="n">
        <v>45705</v>
      </c>
      <c r="C14575" s="1" t="n">
        <v>45706</v>
      </c>
      <c r="D14575" t="inlineStr">
        <is>
          <t>DALARNAS LÄN</t>
        </is>
      </c>
      <c r="E14575" t="inlineStr">
        <is>
          <t>RÄTTVIK</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7587-2025</t>
        </is>
      </c>
      <c r="B14576" s="1" t="n">
        <v>45705</v>
      </c>
      <c r="C14576" s="1" t="n">
        <v>45706</v>
      </c>
      <c r="D14576" t="inlineStr">
        <is>
          <t>DALARNAS LÄN</t>
        </is>
      </c>
      <c r="E14576" t="inlineStr">
        <is>
          <t>FALUN</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7624-2025</t>
        </is>
      </c>
      <c r="B14577" s="1" t="n">
        <v>45705</v>
      </c>
      <c r="C14577" s="1" t="n">
        <v>45706</v>
      </c>
      <c r="D14577" t="inlineStr">
        <is>
          <t>DALARNAS LÄN</t>
        </is>
      </c>
      <c r="E14577" t="inlineStr">
        <is>
          <t>RÄTTVIK</t>
        </is>
      </c>
      <c r="F14577" t="inlineStr">
        <is>
          <t>Bergvik skog väst AB</t>
        </is>
      </c>
      <c r="G14577" t="n">
        <v>8.800000000000001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7619-2025</t>
        </is>
      </c>
      <c r="B14578" s="1" t="n">
        <v>45705</v>
      </c>
      <c r="C14578" s="1" t="n">
        <v>45706</v>
      </c>
      <c r="D14578" t="inlineStr">
        <is>
          <t>DALARNAS LÄN</t>
        </is>
      </c>
      <c r="E14578" t="inlineStr">
        <is>
          <t>ORSA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7436-2025</t>
        </is>
      </c>
      <c r="B14579" s="1" t="n">
        <v>45705</v>
      </c>
      <c r="C14579" s="1" t="n">
        <v>45706</v>
      </c>
      <c r="D14579" t="inlineStr">
        <is>
          <t>DALARNAS LÄN</t>
        </is>
      </c>
      <c r="E14579" t="inlineStr">
        <is>
          <t>FALUN</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7395-2025</t>
        </is>
      </c>
      <c r="B14580" s="1" t="n">
        <v>45705</v>
      </c>
      <c r="C14580" s="1" t="n">
        <v>45706</v>
      </c>
      <c r="D14580" t="inlineStr">
        <is>
          <t>DALARNAS LÄN</t>
        </is>
      </c>
      <c r="E14580" t="inlineStr">
        <is>
          <t>LEKSAND</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7507-2025</t>
        </is>
      </c>
      <c r="B14581" s="1" t="n">
        <v>45705</v>
      </c>
      <c r="C14581" s="1" t="n">
        <v>45706</v>
      </c>
      <c r="D14581" t="inlineStr">
        <is>
          <t>DALARNAS LÄN</t>
        </is>
      </c>
      <c r="E14581" t="inlineStr">
        <is>
          <t>ORSA</t>
        </is>
      </c>
      <c r="G14581" t="n">
        <v>25.8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7552-2025</t>
        </is>
      </c>
      <c r="B14582" s="1" t="n">
        <v>45705</v>
      </c>
      <c r="C14582" s="1" t="n">
        <v>45706</v>
      </c>
      <c r="D14582" t="inlineStr">
        <is>
          <t>DALARNAS LÄN</t>
        </is>
      </c>
      <c r="E14582" t="inlineStr">
        <is>
          <t>MORA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7605-2025</t>
        </is>
      </c>
      <c r="B14583" s="1" t="n">
        <v>45705</v>
      </c>
      <c r="C14583" s="1" t="n">
        <v>45706</v>
      </c>
      <c r="D14583" t="inlineStr">
        <is>
          <t>DALARNAS LÄN</t>
        </is>
      </c>
      <c r="E14583" t="inlineStr">
        <is>
          <t>MALUNG-SÄLEN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7628-2025</t>
        </is>
      </c>
      <c r="B14584" s="1" t="n">
        <v>45705</v>
      </c>
      <c r="C14584" s="1" t="n">
        <v>45706</v>
      </c>
      <c r="D14584" t="inlineStr">
        <is>
          <t>DALARNAS LÄN</t>
        </is>
      </c>
      <c r="E14584" t="inlineStr">
        <is>
          <t>ORSA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7602-2025</t>
        </is>
      </c>
      <c r="B14585" s="1" t="n">
        <v>45705</v>
      </c>
      <c r="C14585" s="1" t="n">
        <v>45706</v>
      </c>
      <c r="D14585" t="inlineStr">
        <is>
          <t>DALARNAS LÄN</t>
        </is>
      </c>
      <c r="E14585" t="inlineStr">
        <is>
          <t>LEKSAND</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7618-2025</t>
        </is>
      </c>
      <c r="B14586" s="1" t="n">
        <v>45705</v>
      </c>
      <c r="C14586" s="1" t="n">
        <v>45706</v>
      </c>
      <c r="D14586" t="inlineStr">
        <is>
          <t>DALARNAS LÄN</t>
        </is>
      </c>
      <c r="E14586" t="inlineStr">
        <is>
          <t>ORSA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7626-2025</t>
        </is>
      </c>
      <c r="B14587" s="1" t="n">
        <v>45705</v>
      </c>
      <c r="C14587" s="1" t="n">
        <v>45706</v>
      </c>
      <c r="D14587" t="inlineStr">
        <is>
          <t>DALARNAS LÄN</t>
        </is>
      </c>
      <c r="E14587" t="inlineStr">
        <is>
          <t>ORSA</t>
        </is>
      </c>
      <c r="G14587" t="n">
        <v>15.5</v>
      </c>
      <c r="H14587" t="n">
        <v>0</v>
      </c>
      <c r="I14587" t="n">
        <v>0</v>
      </c>
      <c r="J14587" t="n">
        <v>0</v>
      </c>
      <c r="K14587" t="n">
        <v>0</v>
      </c>
      <c r="L14587" t="n">
        <v>0</v>
      </c>
      <c r="M14587" t="n">
        <v>0</v>
      </c>
      <c r="N14587" t="n">
        <v>0</v>
      </c>
      <c r="O14587" t="n">
        <v>0</v>
      </c>
      <c r="P14587" t="n">
        <v>0</v>
      </c>
      <c r="Q14587" t="n">
        <v>0</v>
      </c>
      <c r="R14587" s="2" t="inlineStr"/>
    </row>
    <row r="14588">
      <c r="A14588" t="inlineStr">
        <is>
          <t>A 7653-2025</t>
        </is>
      </c>
      <c r="B14588" s="1" t="n">
        <v>45705</v>
      </c>
      <c r="C14588" s="1" t="n">
        <v>45706</v>
      </c>
      <c r="D14588" t="inlineStr">
        <is>
          <t>DALARNAS LÄN</t>
        </is>
      </c>
      <c r="E14588" t="inlineStr">
        <is>
          <t>LEKSAND</t>
        </is>
      </c>
      <c r="G14588" t="n">
        <v>0.8</v>
      </c>
      <c r="H14588" t="n">
        <v>0</v>
      </c>
      <c r="I14588" t="n">
        <v>0</v>
      </c>
      <c r="J14588" t="n">
        <v>0</v>
      </c>
      <c r="K14588" t="n">
        <v>0</v>
      </c>
      <c r="L14588" t="n">
        <v>0</v>
      </c>
      <c r="M14588" t="n">
        <v>0</v>
      </c>
      <c r="N14588" t="n">
        <v>0</v>
      </c>
      <c r="O14588" t="n">
        <v>0</v>
      </c>
      <c r="P14588" t="n">
        <v>0</v>
      </c>
      <c r="Q14588" t="n">
        <v>0</v>
      </c>
      <c r="R14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2025-02-18T16:13:57Z</dcterms:created>
  <dcterms:modified xmlns:dcterms="http://purl.org/dc/terms/" xmlns:xsi="http://www.w3.org/2001/XMLSchema-instance" xsi:type="dcterms:W3CDTF">2025-02-18T16:14:20Z</dcterms:modified>
</cp:coreProperties>
</file>