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45707</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45707</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45707</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45707</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45707</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45707</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45707</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45707</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45707</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45707</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45707</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45707</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45707</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45707</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45707</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45707</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45707</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45707</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45707</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45707</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45707</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45707</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45707</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45707</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45707</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45707</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45707</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45707</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45707</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45707</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45707</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45707</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45707</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45707</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45707</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45707</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45707</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45707</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45707</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45707</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45707</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45707</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45707</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45707</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45707</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45707</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45707</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45707</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45707</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45707</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45707</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45707</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45707</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45707</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45707</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45707</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45707</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45707</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45707</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45707</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45707</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45707</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45707</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45707</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45707</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45707</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45707</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45707</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45707</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45707</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45707</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45707</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45707</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45707</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45707</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45707</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45707</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45707</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45707</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45707</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45707</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45707</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45707</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45707</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45707</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45707</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45707</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45707</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45707</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45707</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45707</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45707</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45707</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45707</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45707</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45707</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45707</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45707</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45707</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45707</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45707</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45707</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45707</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45707</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45707</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45707</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45707</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45707</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45707</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45707</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45707</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45707</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45707</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45707</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45707</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45707</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45707</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45707</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45707</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45707</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2121-2025</t>
        </is>
      </c>
      <c r="B145" s="1" t="n">
        <v>45672</v>
      </c>
      <c r="C145" s="1" t="n">
        <v>45707</v>
      </c>
      <c r="D145" t="inlineStr">
        <is>
          <t>DALARNAS LÄN</t>
        </is>
      </c>
      <c r="E145" t="inlineStr">
        <is>
          <t>ORSA</t>
        </is>
      </c>
      <c r="G145" t="n">
        <v>16</v>
      </c>
      <c r="H145" t="n">
        <v>2</v>
      </c>
      <c r="I145" t="n">
        <v>2</v>
      </c>
      <c r="J145" t="n">
        <v>6</v>
      </c>
      <c r="K145" t="n">
        <v>0</v>
      </c>
      <c r="L145" t="n">
        <v>0</v>
      </c>
      <c r="M145" t="n">
        <v>0</v>
      </c>
      <c r="N145" t="n">
        <v>0</v>
      </c>
      <c r="O145" t="n">
        <v>6</v>
      </c>
      <c r="P145" t="n">
        <v>0</v>
      </c>
      <c r="Q145" t="n">
        <v>9</v>
      </c>
      <c r="R145" s="2" t="inlineStr">
        <is>
          <t>Garnlav
Kolflarnlav
Mörk kolflarnlav
Spillkråka
Tallticka
Vedskivlav
Mindre märgborre
Nästlav
Tjäder</t>
        </is>
      </c>
      <c r="S145">
        <f>HYPERLINK("https://klasma.github.io/Logging_2034/artfynd/A 2121-2025 artfynd.xlsx", "A 2121-2025")</f>
        <v/>
      </c>
      <c r="T145">
        <f>HYPERLINK("https://klasma.github.io/Logging_2034/kartor/A 2121-2025 karta.png", "A 2121-2025")</f>
        <v/>
      </c>
      <c r="V145">
        <f>HYPERLINK("https://klasma.github.io/Logging_2034/klagomål/A 2121-2025 FSC-klagomål.docx", "A 2121-2025")</f>
        <v/>
      </c>
      <c r="W145">
        <f>HYPERLINK("https://klasma.github.io/Logging_2034/klagomålsmail/A 2121-2025 FSC-klagomål mail.docx", "A 2121-2025")</f>
        <v/>
      </c>
      <c r="X145">
        <f>HYPERLINK("https://klasma.github.io/Logging_2034/tillsyn/A 2121-2025 tillsynsbegäran.docx", "A 2121-2025")</f>
        <v/>
      </c>
      <c r="Y145">
        <f>HYPERLINK("https://klasma.github.io/Logging_2034/tillsynsmail/A 2121-2025 tillsynsbegäran mail.docx", "A 2121-2025")</f>
        <v/>
      </c>
      <c r="Z145">
        <f>HYPERLINK("https://klasma.github.io/Logging_2034/fåglar/A 2121-2025 prioriterade fågelarter.docx", "A 2121-2025")</f>
        <v/>
      </c>
    </row>
    <row r="146" ht="15" customHeight="1">
      <c r="A146" t="inlineStr">
        <is>
          <t>A 41607-2020</t>
        </is>
      </c>
      <c r="B146" s="1" t="n">
        <v>44070</v>
      </c>
      <c r="C146" s="1" t="n">
        <v>45707</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45707</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45707</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45707</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45707</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45707</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45707</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45707</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45707</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45707</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45707</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14785-2023</t>
        </is>
      </c>
      <c r="B157" s="1" t="n">
        <v>45014</v>
      </c>
      <c r="C157" s="1" t="n">
        <v>45707</v>
      </c>
      <c r="D157" t="inlineStr">
        <is>
          <t>DALARNAS LÄN</t>
        </is>
      </c>
      <c r="E157" t="inlineStr">
        <is>
          <t>AVESTA</t>
        </is>
      </c>
      <c r="G157" t="n">
        <v>6.7</v>
      </c>
      <c r="H157" t="n">
        <v>1</v>
      </c>
      <c r="I157" t="n">
        <v>4</v>
      </c>
      <c r="J157" t="n">
        <v>0</v>
      </c>
      <c r="K157" t="n">
        <v>0</v>
      </c>
      <c r="L157" t="n">
        <v>4</v>
      </c>
      <c r="M157" t="n">
        <v>0</v>
      </c>
      <c r="N157" t="n">
        <v>0</v>
      </c>
      <c r="O157" t="n">
        <v>4</v>
      </c>
      <c r="P157" t="n">
        <v>4</v>
      </c>
      <c r="Q157" t="n">
        <v>8</v>
      </c>
      <c r="R157" s="2" t="inlineStr">
        <is>
          <t>Gråblå skinnlav
Mikroskapania
Svämskapania
Timmerskapania
Korallblylav
Piskbaronmossa
Skinnlav
Trubbfjädermossa</t>
        </is>
      </c>
      <c r="S157">
        <f>HYPERLINK("https://klasma.github.io/Logging_2084/artfynd/A 14785-2023 artfynd.xlsx", "A 14785-2023")</f>
        <v/>
      </c>
      <c r="T157">
        <f>HYPERLINK("https://klasma.github.io/Logging_2084/kartor/A 14785-2023 karta.png", "A 14785-2023")</f>
        <v/>
      </c>
      <c r="V157">
        <f>HYPERLINK("https://klasma.github.io/Logging_2084/klagomål/A 14785-2023 FSC-klagomål.docx", "A 14785-2023")</f>
        <v/>
      </c>
      <c r="W157">
        <f>HYPERLINK("https://klasma.github.io/Logging_2084/klagomålsmail/A 14785-2023 FSC-klagomål mail.docx", "A 14785-2023")</f>
        <v/>
      </c>
      <c r="X157">
        <f>HYPERLINK("https://klasma.github.io/Logging_2084/tillsyn/A 14785-2023 tillsynsbegäran.docx", "A 14785-2023")</f>
        <v/>
      </c>
      <c r="Y157">
        <f>HYPERLINK("https://klasma.github.io/Logging_2084/tillsynsmail/A 14785-2023 tillsynsbegäran mail.docx", "A 14785-2023")</f>
        <v/>
      </c>
    </row>
    <row r="158" ht="15" customHeight="1">
      <c r="A158" t="inlineStr">
        <is>
          <t>A 57812-2023</t>
        </is>
      </c>
      <c r="B158" s="1" t="n">
        <v>45247</v>
      </c>
      <c r="C158" s="1" t="n">
        <v>45707</v>
      </c>
      <c r="D158" t="inlineStr">
        <is>
          <t>DALARNAS LÄN</t>
        </is>
      </c>
      <c r="E158" t="inlineStr">
        <is>
          <t>LEKSAND</t>
        </is>
      </c>
      <c r="G158" t="n">
        <v>0.9</v>
      </c>
      <c r="H158" t="n">
        <v>5</v>
      </c>
      <c r="I158" t="n">
        <v>1</v>
      </c>
      <c r="J158" t="n">
        <v>5</v>
      </c>
      <c r="K158" t="n">
        <v>1</v>
      </c>
      <c r="L158" t="n">
        <v>0</v>
      </c>
      <c r="M158" t="n">
        <v>0</v>
      </c>
      <c r="N158" t="n">
        <v>0</v>
      </c>
      <c r="O158" t="n">
        <v>6</v>
      </c>
      <c r="P158" t="n">
        <v>1</v>
      </c>
      <c r="Q158" t="n">
        <v>8</v>
      </c>
      <c r="R158" s="2" t="inlineStr">
        <is>
          <t>Knärot
Garnlav
Spillkråka
Talltita
Tretåig hackspett
Ullticka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64719-2023</t>
        </is>
      </c>
      <c r="B159" s="1" t="n">
        <v>45281</v>
      </c>
      <c r="C159" s="1" t="n">
        <v>45707</v>
      </c>
      <c r="D159" t="inlineStr">
        <is>
          <t>DALARNAS LÄN</t>
        </is>
      </c>
      <c r="E159" t="inlineStr">
        <is>
          <t>BORLÄNGE</t>
        </is>
      </c>
      <c r="G159" t="n">
        <v>16.5</v>
      </c>
      <c r="H159" t="n">
        <v>2</v>
      </c>
      <c r="I159" t="n">
        <v>4</v>
      </c>
      <c r="J159" t="n">
        <v>2</v>
      </c>
      <c r="K159" t="n">
        <v>1</v>
      </c>
      <c r="L159" t="n">
        <v>0</v>
      </c>
      <c r="M159" t="n">
        <v>0</v>
      </c>
      <c r="N159" t="n">
        <v>0</v>
      </c>
      <c r="O159" t="n">
        <v>3</v>
      </c>
      <c r="P159" t="n">
        <v>1</v>
      </c>
      <c r="Q159" t="n">
        <v>8</v>
      </c>
      <c r="R159" s="2" t="inlineStr">
        <is>
          <t>Knärot
Orange taggsvamp
Ullticka
Bronshjon
Fjällig taggsvamp s.str.
Gullgröppa
Vedticka
Revlummer</t>
        </is>
      </c>
      <c r="S159">
        <f>HYPERLINK("https://klasma.github.io/Logging_2081/artfynd/A 64719-2023 artfynd.xlsx", "A 64719-2023")</f>
        <v/>
      </c>
      <c r="T159">
        <f>HYPERLINK("https://klasma.github.io/Logging_2081/kartor/A 64719-2023 karta.png", "A 64719-2023")</f>
        <v/>
      </c>
      <c r="U159">
        <f>HYPERLINK("https://klasma.github.io/Logging_2081/knärot/A 64719-2023 karta knärot.png", "A 64719-2023")</f>
        <v/>
      </c>
      <c r="V159">
        <f>HYPERLINK("https://klasma.github.io/Logging_2081/klagomål/A 64719-2023 FSC-klagomål.docx", "A 64719-2023")</f>
        <v/>
      </c>
      <c r="W159">
        <f>HYPERLINK("https://klasma.github.io/Logging_2081/klagomålsmail/A 64719-2023 FSC-klagomål mail.docx", "A 64719-2023")</f>
        <v/>
      </c>
      <c r="X159">
        <f>HYPERLINK("https://klasma.github.io/Logging_2081/tillsyn/A 64719-2023 tillsynsbegäran.docx", "A 64719-2023")</f>
        <v/>
      </c>
      <c r="Y159">
        <f>HYPERLINK("https://klasma.github.io/Logging_2081/tillsynsmail/A 64719-2023 tillsynsbegäran mail.docx", "A 64719-2023")</f>
        <v/>
      </c>
    </row>
    <row r="160" ht="15" customHeight="1">
      <c r="A160" t="inlineStr">
        <is>
          <t>A 17715-2024</t>
        </is>
      </c>
      <c r="B160" s="1" t="n">
        <v>45415</v>
      </c>
      <c r="C160" s="1" t="n">
        <v>45707</v>
      </c>
      <c r="D160" t="inlineStr">
        <is>
          <t>DALARNAS LÄN</t>
        </is>
      </c>
      <c r="E160" t="inlineStr">
        <is>
          <t>ÄLVDALEN</t>
        </is>
      </c>
      <c r="F160" t="inlineStr">
        <is>
          <t>Övriga statliga verk och myndigheter</t>
        </is>
      </c>
      <c r="G160" t="n">
        <v>19.2</v>
      </c>
      <c r="H160" t="n">
        <v>1</v>
      </c>
      <c r="I160" t="n">
        <v>1</v>
      </c>
      <c r="J160" t="n">
        <v>6</v>
      </c>
      <c r="K160" t="n">
        <v>0</v>
      </c>
      <c r="L160" t="n">
        <v>0</v>
      </c>
      <c r="M160" t="n">
        <v>0</v>
      </c>
      <c r="N160" t="n">
        <v>0</v>
      </c>
      <c r="O160" t="n">
        <v>6</v>
      </c>
      <c r="P160" t="n">
        <v>0</v>
      </c>
      <c r="Q160" t="n">
        <v>8</v>
      </c>
      <c r="R160" s="2" t="inlineStr">
        <is>
          <t>Dvärgbägarlav
Kolflarnlav
Mörk kolflarnlav
Reliktbock
Vedflamlav
Vedskivlav
Dropptaggsvamp
Tjäder</t>
        </is>
      </c>
      <c r="S160">
        <f>HYPERLINK("https://klasma.github.io/Logging_2039/artfynd/A 17715-2024 artfynd.xlsx", "A 17715-2024")</f>
        <v/>
      </c>
      <c r="T160">
        <f>HYPERLINK("https://klasma.github.io/Logging_2039/kartor/A 17715-2024 karta.png", "A 17715-2024")</f>
        <v/>
      </c>
      <c r="V160">
        <f>HYPERLINK("https://klasma.github.io/Logging_2039/klagomål/A 17715-2024 FSC-klagomål.docx", "A 17715-2024")</f>
        <v/>
      </c>
      <c r="W160">
        <f>HYPERLINK("https://klasma.github.io/Logging_2039/klagomålsmail/A 17715-2024 FSC-klagomål mail.docx", "A 17715-2024")</f>
        <v/>
      </c>
      <c r="X160">
        <f>HYPERLINK("https://klasma.github.io/Logging_2039/tillsyn/A 17715-2024 tillsynsbegäran.docx", "A 17715-2024")</f>
        <v/>
      </c>
      <c r="Y160">
        <f>HYPERLINK("https://klasma.github.io/Logging_2039/tillsynsmail/A 17715-2024 tillsynsbegäran mail.docx", "A 17715-2024")</f>
        <v/>
      </c>
      <c r="Z160">
        <f>HYPERLINK("https://klasma.github.io/Logging_2039/fåglar/A 17715-2024 prioriterade fågelarter.docx", "A 17715-2024")</f>
        <v/>
      </c>
    </row>
    <row r="161" ht="15" customHeight="1">
      <c r="A161" t="inlineStr">
        <is>
          <t>A 17767-2024</t>
        </is>
      </c>
      <c r="B161" s="1" t="n">
        <v>45415</v>
      </c>
      <c r="C161" s="1" t="n">
        <v>45707</v>
      </c>
      <c r="D161" t="inlineStr">
        <is>
          <t>DALARNAS LÄN</t>
        </is>
      </c>
      <c r="E161" t="inlineStr">
        <is>
          <t>ÄLVDALEN</t>
        </is>
      </c>
      <c r="F161" t="inlineStr">
        <is>
          <t>Övriga statliga verk och myndigheter</t>
        </is>
      </c>
      <c r="G161" t="n">
        <v>15.9</v>
      </c>
      <c r="H161" t="n">
        <v>0</v>
      </c>
      <c r="I161" t="n">
        <v>1</v>
      </c>
      <c r="J161" t="n">
        <v>6</v>
      </c>
      <c r="K161" t="n">
        <v>1</v>
      </c>
      <c r="L161" t="n">
        <v>0</v>
      </c>
      <c r="M161" t="n">
        <v>0</v>
      </c>
      <c r="N161" t="n">
        <v>0</v>
      </c>
      <c r="O161" t="n">
        <v>7</v>
      </c>
      <c r="P161" t="n">
        <v>1</v>
      </c>
      <c r="Q161" t="n">
        <v>8</v>
      </c>
      <c r="R161" s="2" t="inlineStr">
        <is>
          <t>Spadskinn
Dvärgbägarlav
Garnlav
Kolflarnlav
Mörk kolflarnlav
Vedflamlav
Vedskivlav
Dropptaggsvamp</t>
        </is>
      </c>
      <c r="S161">
        <f>HYPERLINK("https://klasma.github.io/Logging_2039/artfynd/A 17767-2024 artfynd.xlsx", "A 17767-2024")</f>
        <v/>
      </c>
      <c r="T161">
        <f>HYPERLINK("https://klasma.github.io/Logging_2039/kartor/A 17767-2024 karta.png", "A 17767-2024")</f>
        <v/>
      </c>
      <c r="V161">
        <f>HYPERLINK("https://klasma.github.io/Logging_2039/klagomål/A 17767-2024 FSC-klagomål.docx", "A 17767-2024")</f>
        <v/>
      </c>
      <c r="W161">
        <f>HYPERLINK("https://klasma.github.io/Logging_2039/klagomålsmail/A 17767-2024 FSC-klagomål mail.docx", "A 17767-2024")</f>
        <v/>
      </c>
      <c r="X161">
        <f>HYPERLINK("https://klasma.github.io/Logging_2039/tillsyn/A 17767-2024 tillsynsbegäran.docx", "A 17767-2024")</f>
        <v/>
      </c>
      <c r="Y161">
        <f>HYPERLINK("https://klasma.github.io/Logging_2039/tillsynsmail/A 17767-2024 tillsynsbegäran mail.docx", "A 17767-2024")</f>
        <v/>
      </c>
    </row>
    <row r="162" ht="15" customHeight="1">
      <c r="A162" t="inlineStr">
        <is>
          <t>A 29287-2024</t>
        </is>
      </c>
      <c r="B162" s="1" t="n">
        <v>45483</v>
      </c>
      <c r="C162" s="1" t="n">
        <v>45707</v>
      </c>
      <c r="D162" t="inlineStr">
        <is>
          <t>DALARNAS LÄN</t>
        </is>
      </c>
      <c r="E162" t="inlineStr">
        <is>
          <t>VANSBRO</t>
        </is>
      </c>
      <c r="G162" t="n">
        <v>5.3</v>
      </c>
      <c r="H162" t="n">
        <v>2</v>
      </c>
      <c r="I162" t="n">
        <v>4</v>
      </c>
      <c r="J162" t="n">
        <v>2</v>
      </c>
      <c r="K162" t="n">
        <v>1</v>
      </c>
      <c r="L162" t="n">
        <v>0</v>
      </c>
      <c r="M162" t="n">
        <v>0</v>
      </c>
      <c r="N162" t="n">
        <v>0</v>
      </c>
      <c r="O162" t="n">
        <v>3</v>
      </c>
      <c r="P162" t="n">
        <v>1</v>
      </c>
      <c r="Q162" t="n">
        <v>8</v>
      </c>
      <c r="R162" s="2" t="inlineStr">
        <is>
          <t>Rotfingersvamp
Skrovlig taggsvamp
Tretåig hackspett
Bollvitmossa
Dropptaggsvamp
Mindre märgborre
Skarp dropptaggsvamp
Tjäder</t>
        </is>
      </c>
      <c r="S162">
        <f>HYPERLINK("https://klasma.github.io/Logging_2021/artfynd/A 29287-2024 artfynd.xlsx", "A 29287-2024")</f>
        <v/>
      </c>
      <c r="T162">
        <f>HYPERLINK("https://klasma.github.io/Logging_2021/kartor/A 29287-2024 karta.png", "A 29287-2024")</f>
        <v/>
      </c>
      <c r="V162">
        <f>HYPERLINK("https://klasma.github.io/Logging_2021/klagomål/A 29287-2024 FSC-klagomål.docx", "A 29287-2024")</f>
        <v/>
      </c>
      <c r="W162">
        <f>HYPERLINK("https://klasma.github.io/Logging_2021/klagomålsmail/A 29287-2024 FSC-klagomål mail.docx", "A 29287-2024")</f>
        <v/>
      </c>
      <c r="X162">
        <f>HYPERLINK("https://klasma.github.io/Logging_2021/tillsyn/A 29287-2024 tillsynsbegäran.docx", "A 29287-2024")</f>
        <v/>
      </c>
      <c r="Y162">
        <f>HYPERLINK("https://klasma.github.io/Logging_2021/tillsynsmail/A 29287-2024 tillsynsbegäran mail.docx", "A 29287-2024")</f>
        <v/>
      </c>
      <c r="Z162">
        <f>HYPERLINK("https://klasma.github.io/Logging_2021/fåglar/A 29287-2024 prioriterade fågelarter.docx", "A 29287-2024")</f>
        <v/>
      </c>
    </row>
    <row r="163" ht="15" customHeight="1">
      <c r="A163" t="inlineStr">
        <is>
          <t>A 31359-2024</t>
        </is>
      </c>
      <c r="B163" s="1" t="n">
        <v>45505</v>
      </c>
      <c r="C163" s="1" t="n">
        <v>45707</v>
      </c>
      <c r="D163" t="inlineStr">
        <is>
          <t>DALARNAS LÄN</t>
        </is>
      </c>
      <c r="E163" t="inlineStr">
        <is>
          <t>FALUN</t>
        </is>
      </c>
      <c r="F163" t="inlineStr">
        <is>
          <t>Bergvik skog väst AB</t>
        </is>
      </c>
      <c r="G163" t="n">
        <v>1.6</v>
      </c>
      <c r="H163" t="n">
        <v>3</v>
      </c>
      <c r="I163" t="n">
        <v>4</v>
      </c>
      <c r="J163" t="n">
        <v>3</v>
      </c>
      <c r="K163" t="n">
        <v>1</v>
      </c>
      <c r="L163" t="n">
        <v>0</v>
      </c>
      <c r="M163" t="n">
        <v>0</v>
      </c>
      <c r="N163" t="n">
        <v>0</v>
      </c>
      <c r="O163" t="n">
        <v>4</v>
      </c>
      <c r="P163" t="n">
        <v>1</v>
      </c>
      <c r="Q163" t="n">
        <v>8</v>
      </c>
      <c r="R163" s="2" t="inlineStr">
        <is>
          <t>Knärot
Järpe
Svart taggsvamp
Tretåig hackspett
Dropptaggsvamp
Mindre märgborre
Vågbandad barkbock
Zontaggsvamp</t>
        </is>
      </c>
      <c r="S163">
        <f>HYPERLINK("https://klasma.github.io/Logging_2080/artfynd/A 31359-2024 artfynd.xlsx", "A 31359-2024")</f>
        <v/>
      </c>
      <c r="T163">
        <f>HYPERLINK("https://klasma.github.io/Logging_2080/kartor/A 31359-2024 karta.png", "A 31359-2024")</f>
        <v/>
      </c>
      <c r="U163">
        <f>HYPERLINK("https://klasma.github.io/Logging_2080/knärot/A 31359-2024 karta knärot.png", "A 31359-2024")</f>
        <v/>
      </c>
      <c r="V163">
        <f>HYPERLINK("https://klasma.github.io/Logging_2080/klagomål/A 31359-2024 FSC-klagomål.docx", "A 31359-2024")</f>
        <v/>
      </c>
      <c r="W163">
        <f>HYPERLINK("https://klasma.github.io/Logging_2080/klagomålsmail/A 31359-2024 FSC-klagomål mail.docx", "A 31359-2024")</f>
        <v/>
      </c>
      <c r="X163">
        <f>HYPERLINK("https://klasma.github.io/Logging_2080/tillsyn/A 31359-2024 tillsynsbegäran.docx", "A 31359-2024")</f>
        <v/>
      </c>
      <c r="Y163">
        <f>HYPERLINK("https://klasma.github.io/Logging_2080/tillsynsmail/A 31359-2024 tillsynsbegäran mail.docx", "A 31359-2024")</f>
        <v/>
      </c>
      <c r="Z163">
        <f>HYPERLINK("https://klasma.github.io/Logging_2080/fåglar/A 31359-2024 prioriterade fågelarter.docx", "A 31359-2024")</f>
        <v/>
      </c>
    </row>
    <row r="164" ht="15" customHeight="1">
      <c r="A164" t="inlineStr">
        <is>
          <t>A 31749-2024</t>
        </is>
      </c>
      <c r="B164" s="1" t="n">
        <v>45509</v>
      </c>
      <c r="C164" s="1" t="n">
        <v>45707</v>
      </c>
      <c r="D164" t="inlineStr">
        <is>
          <t>DALARNAS LÄN</t>
        </is>
      </c>
      <c r="E164" t="inlineStr">
        <is>
          <t>LUDVIKA</t>
        </is>
      </c>
      <c r="G164" t="n">
        <v>6.7</v>
      </c>
      <c r="H164" t="n">
        <v>1</v>
      </c>
      <c r="I164" t="n">
        <v>6</v>
      </c>
      <c r="J164" t="n">
        <v>0</v>
      </c>
      <c r="K164" t="n">
        <v>1</v>
      </c>
      <c r="L164" t="n">
        <v>0</v>
      </c>
      <c r="M164" t="n">
        <v>0</v>
      </c>
      <c r="N164" t="n">
        <v>0</v>
      </c>
      <c r="O164" t="n">
        <v>1</v>
      </c>
      <c r="P164" t="n">
        <v>1</v>
      </c>
      <c r="Q164" t="n">
        <v>8</v>
      </c>
      <c r="R164" s="2" t="inlineStr">
        <is>
          <t>Rynkskinn
Sotriska
Svart trolldruva
Svavelriska
Tibast
Underviol
Vårärt
Blåsippa</t>
        </is>
      </c>
      <c r="S164">
        <f>HYPERLINK("https://klasma.github.io/Logging_2085/artfynd/A 31749-2024 artfynd.xlsx", "A 31749-2024")</f>
        <v/>
      </c>
      <c r="T164">
        <f>HYPERLINK("https://klasma.github.io/Logging_2085/kartor/A 31749-2024 karta.png", "A 31749-2024")</f>
        <v/>
      </c>
      <c r="V164">
        <f>HYPERLINK("https://klasma.github.io/Logging_2085/klagomål/A 31749-2024 FSC-klagomål.docx", "A 31749-2024")</f>
        <v/>
      </c>
      <c r="W164">
        <f>HYPERLINK("https://klasma.github.io/Logging_2085/klagomålsmail/A 31749-2024 FSC-klagomål mail.docx", "A 31749-2024")</f>
        <v/>
      </c>
      <c r="X164">
        <f>HYPERLINK("https://klasma.github.io/Logging_2085/tillsyn/A 31749-2024 tillsynsbegäran.docx", "A 31749-2024")</f>
        <v/>
      </c>
      <c r="Y164">
        <f>HYPERLINK("https://klasma.github.io/Logging_2085/tillsynsmail/A 31749-2024 tillsynsbegäran mail.docx", "A 31749-2024")</f>
        <v/>
      </c>
    </row>
    <row r="165" ht="15" customHeight="1">
      <c r="A165" t="inlineStr">
        <is>
          <t>A 45887-2024</t>
        </is>
      </c>
      <c r="B165" s="1" t="n">
        <v>45580</v>
      </c>
      <c r="C165" s="1" t="n">
        <v>45707</v>
      </c>
      <c r="D165" t="inlineStr">
        <is>
          <t>DALARNAS LÄN</t>
        </is>
      </c>
      <c r="E165" t="inlineStr">
        <is>
          <t>ORSA</t>
        </is>
      </c>
      <c r="F165" t="inlineStr">
        <is>
          <t>Kommuner</t>
        </is>
      </c>
      <c r="G165" t="n">
        <v>6.5</v>
      </c>
      <c r="H165" t="n">
        <v>2</v>
      </c>
      <c r="I165" t="n">
        <v>1</v>
      </c>
      <c r="J165" t="n">
        <v>7</v>
      </c>
      <c r="K165" t="n">
        <v>0</v>
      </c>
      <c r="L165" t="n">
        <v>0</v>
      </c>
      <c r="M165" t="n">
        <v>0</v>
      </c>
      <c r="N165" t="n">
        <v>0</v>
      </c>
      <c r="O165" t="n">
        <v>7</v>
      </c>
      <c r="P165" t="n">
        <v>0</v>
      </c>
      <c r="Q165" t="n">
        <v>8</v>
      </c>
      <c r="R165" s="2" t="inlineStr">
        <is>
          <t>Garnlav
Granticka
Tallticka
Talltita
Tretåig hackspett
Ullticka
Violettgrå tagellav
Vedticka</t>
        </is>
      </c>
      <c r="S165">
        <f>HYPERLINK("https://klasma.github.io/Logging_2034/artfynd/A 45887-2024 artfynd.xlsx", "A 45887-2024")</f>
        <v/>
      </c>
      <c r="T165">
        <f>HYPERLINK("https://klasma.github.io/Logging_2034/kartor/A 45887-2024 karta.png", "A 45887-2024")</f>
        <v/>
      </c>
      <c r="V165">
        <f>HYPERLINK("https://klasma.github.io/Logging_2034/klagomål/A 45887-2024 FSC-klagomål.docx", "A 45887-2024")</f>
        <v/>
      </c>
      <c r="W165">
        <f>HYPERLINK("https://klasma.github.io/Logging_2034/klagomålsmail/A 45887-2024 FSC-klagomål mail.docx", "A 45887-2024")</f>
        <v/>
      </c>
      <c r="X165">
        <f>HYPERLINK("https://klasma.github.io/Logging_2034/tillsyn/A 45887-2024 tillsynsbegäran.docx", "A 45887-2024")</f>
        <v/>
      </c>
      <c r="Y165">
        <f>HYPERLINK("https://klasma.github.io/Logging_2034/tillsynsmail/A 45887-2024 tillsynsbegäran mail.docx", "A 45887-2024")</f>
        <v/>
      </c>
      <c r="Z165">
        <f>HYPERLINK("https://klasma.github.io/Logging_2034/fåglar/A 45887-2024 prioriterade fågelarter.docx", "A 45887-2024")</f>
        <v/>
      </c>
    </row>
    <row r="166" ht="15" customHeight="1">
      <c r="A166" t="inlineStr">
        <is>
          <t>A 27655-2019</t>
        </is>
      </c>
      <c r="B166" s="1" t="n">
        <v>43619</v>
      </c>
      <c r="C166" s="1" t="n">
        <v>45707</v>
      </c>
      <c r="D166" t="inlineStr">
        <is>
          <t>DALARNAS LÄN</t>
        </is>
      </c>
      <c r="E166" t="inlineStr">
        <is>
          <t>ORSA</t>
        </is>
      </c>
      <c r="F166" t="inlineStr">
        <is>
          <t>Bergvik skog öst AB</t>
        </is>
      </c>
      <c r="G166" t="n">
        <v>26.9</v>
      </c>
      <c r="H166" t="n">
        <v>7</v>
      </c>
      <c r="I166" t="n">
        <v>0</v>
      </c>
      <c r="J166" t="n">
        <v>5</v>
      </c>
      <c r="K166" t="n">
        <v>0</v>
      </c>
      <c r="L166" t="n">
        <v>0</v>
      </c>
      <c r="M166" t="n">
        <v>0</v>
      </c>
      <c r="N166" t="n">
        <v>0</v>
      </c>
      <c r="O166" t="n">
        <v>5</v>
      </c>
      <c r="P166" t="n">
        <v>0</v>
      </c>
      <c r="Q166" t="n">
        <v>7</v>
      </c>
      <c r="R166" s="2" t="inlineStr">
        <is>
          <t>Blå kärrhök
Fjällvråk
Kungsörn
Stenfalk
Sävsparv
Grönsiska
Sångsvan</t>
        </is>
      </c>
      <c r="S166">
        <f>HYPERLINK("https://klasma.github.io/Logging_2034/artfynd/A 27655-2019 artfynd.xlsx", "A 27655-2019")</f>
        <v/>
      </c>
      <c r="T166">
        <f>HYPERLINK("https://klasma.github.io/Logging_2034/kartor/A 27655-2019 karta.png", "A 27655-2019")</f>
        <v/>
      </c>
      <c r="V166">
        <f>HYPERLINK("https://klasma.github.io/Logging_2034/klagomål/A 27655-2019 FSC-klagomål.docx", "A 27655-2019")</f>
        <v/>
      </c>
      <c r="W166">
        <f>HYPERLINK("https://klasma.github.io/Logging_2034/klagomålsmail/A 27655-2019 FSC-klagomål mail.docx", "A 27655-2019")</f>
        <v/>
      </c>
      <c r="X166">
        <f>HYPERLINK("https://klasma.github.io/Logging_2034/tillsyn/A 27655-2019 tillsynsbegäran.docx", "A 27655-2019")</f>
        <v/>
      </c>
      <c r="Y166">
        <f>HYPERLINK("https://klasma.github.io/Logging_2034/tillsynsmail/A 27655-2019 tillsynsbegäran mail.docx", "A 27655-2019")</f>
        <v/>
      </c>
      <c r="Z166">
        <f>HYPERLINK("https://klasma.github.io/Logging_2034/fåglar/A 27655-2019 prioriterade fågelarter.docx", "A 27655-2019")</f>
        <v/>
      </c>
    </row>
    <row r="167" ht="15" customHeight="1">
      <c r="A167" t="inlineStr">
        <is>
          <t>A 30548-2019</t>
        </is>
      </c>
      <c r="B167" s="1" t="n">
        <v>43635</v>
      </c>
      <c r="C167" s="1" t="n">
        <v>45707</v>
      </c>
      <c r="D167" t="inlineStr">
        <is>
          <t>DALARNAS LÄN</t>
        </is>
      </c>
      <c r="E167" t="inlineStr">
        <is>
          <t>MALUNG-SÄLEN</t>
        </is>
      </c>
      <c r="G167" t="n">
        <v>11.7</v>
      </c>
      <c r="H167" t="n">
        <v>0</v>
      </c>
      <c r="I167" t="n">
        <v>2</v>
      </c>
      <c r="J167" t="n">
        <v>5</v>
      </c>
      <c r="K167" t="n">
        <v>0</v>
      </c>
      <c r="L167" t="n">
        <v>0</v>
      </c>
      <c r="M167" t="n">
        <v>0</v>
      </c>
      <c r="N167" t="n">
        <v>0</v>
      </c>
      <c r="O167" t="n">
        <v>5</v>
      </c>
      <c r="P167" t="n">
        <v>0</v>
      </c>
      <c r="Q167" t="n">
        <v>7</v>
      </c>
      <c r="R167" s="2" t="inlineStr">
        <is>
          <t>Doftskinn
Garnlav
Violmussling
Vitgrynig nållav
Vitskaftad svartspik
Kornig nållav
Vågbandad barkbock</t>
        </is>
      </c>
      <c r="S167">
        <f>HYPERLINK("https://klasma.github.io/Logging_2023/artfynd/A 30548-2019 artfynd.xlsx", "A 30548-2019")</f>
        <v/>
      </c>
      <c r="T167">
        <f>HYPERLINK("https://klasma.github.io/Logging_2023/kartor/A 30548-2019 karta.png", "A 30548-2019")</f>
        <v/>
      </c>
      <c r="V167">
        <f>HYPERLINK("https://klasma.github.io/Logging_2023/klagomål/A 30548-2019 FSC-klagomål.docx", "A 30548-2019")</f>
        <v/>
      </c>
      <c r="W167">
        <f>HYPERLINK("https://klasma.github.io/Logging_2023/klagomålsmail/A 30548-2019 FSC-klagomål mail.docx", "A 30548-2019")</f>
        <v/>
      </c>
      <c r="X167">
        <f>HYPERLINK("https://klasma.github.io/Logging_2023/tillsyn/A 30548-2019 tillsynsbegäran.docx", "A 30548-2019")</f>
        <v/>
      </c>
      <c r="Y167">
        <f>HYPERLINK("https://klasma.github.io/Logging_2023/tillsynsmail/A 30548-2019 tillsynsbegäran mail.docx", "A 30548-2019")</f>
        <v/>
      </c>
    </row>
    <row r="168" ht="15" customHeight="1">
      <c r="A168" t="inlineStr">
        <is>
          <t>A 58449-2019</t>
        </is>
      </c>
      <c r="B168" s="1" t="n">
        <v>43773</v>
      </c>
      <c r="C168" s="1" t="n">
        <v>45707</v>
      </c>
      <c r="D168" t="inlineStr">
        <is>
          <t>DALARNAS LÄN</t>
        </is>
      </c>
      <c r="E168" t="inlineStr">
        <is>
          <t>FALUN</t>
        </is>
      </c>
      <c r="F168" t="inlineStr">
        <is>
          <t>Bergvik skog väst AB</t>
        </is>
      </c>
      <c r="G168" t="n">
        <v>2.3</v>
      </c>
      <c r="H168" t="n">
        <v>0</v>
      </c>
      <c r="I168" t="n">
        <v>2</v>
      </c>
      <c r="J168" t="n">
        <v>5</v>
      </c>
      <c r="K168" t="n">
        <v>0</v>
      </c>
      <c r="L168" t="n">
        <v>0</v>
      </c>
      <c r="M168" t="n">
        <v>0</v>
      </c>
      <c r="N168" t="n">
        <v>0</v>
      </c>
      <c r="O168" t="n">
        <v>5</v>
      </c>
      <c r="P168" t="n">
        <v>0</v>
      </c>
      <c r="Q168" t="n">
        <v>7</v>
      </c>
      <c r="R168" s="2" t="inlineStr">
        <is>
          <t>Brunpudrad nållav
Doftskinn
Garnlav
Kortskaftad ärgspik
Ullticka
Gulnål
Vedticka</t>
        </is>
      </c>
      <c r="S168">
        <f>HYPERLINK("https://klasma.github.io/Logging_2080/artfynd/A 58449-2019 artfynd.xlsx", "A 58449-2019")</f>
        <v/>
      </c>
      <c r="T168">
        <f>HYPERLINK("https://klasma.github.io/Logging_2080/kartor/A 58449-2019 karta.png", "A 58449-2019")</f>
        <v/>
      </c>
      <c r="V168">
        <f>HYPERLINK("https://klasma.github.io/Logging_2080/klagomål/A 58449-2019 FSC-klagomål.docx", "A 58449-2019")</f>
        <v/>
      </c>
      <c r="W168">
        <f>HYPERLINK("https://klasma.github.io/Logging_2080/klagomålsmail/A 58449-2019 FSC-klagomål mail.docx", "A 58449-2019")</f>
        <v/>
      </c>
      <c r="X168">
        <f>HYPERLINK("https://klasma.github.io/Logging_2080/tillsyn/A 58449-2019 tillsynsbegäran.docx", "A 58449-2019")</f>
        <v/>
      </c>
      <c r="Y168">
        <f>HYPERLINK("https://klasma.github.io/Logging_2080/tillsynsmail/A 58449-2019 tillsynsbegäran mail.docx", "A 58449-2019")</f>
        <v/>
      </c>
    </row>
    <row r="169" ht="15" customHeight="1">
      <c r="A169" t="inlineStr">
        <is>
          <t>A 62318-2019</t>
        </is>
      </c>
      <c r="B169" s="1" t="n">
        <v>43788</v>
      </c>
      <c r="C169" s="1" t="n">
        <v>45707</v>
      </c>
      <c r="D169" t="inlineStr">
        <is>
          <t>DALARNAS LÄN</t>
        </is>
      </c>
      <c r="E169" t="inlineStr">
        <is>
          <t>MALUNG-SÄLEN</t>
        </is>
      </c>
      <c r="G169" t="n">
        <v>2.1</v>
      </c>
      <c r="H169" t="n">
        <v>1</v>
      </c>
      <c r="I169" t="n">
        <v>1</v>
      </c>
      <c r="J169" t="n">
        <v>6</v>
      </c>
      <c r="K169" t="n">
        <v>0</v>
      </c>
      <c r="L169" t="n">
        <v>0</v>
      </c>
      <c r="M169" t="n">
        <v>0</v>
      </c>
      <c r="N169" t="n">
        <v>0</v>
      </c>
      <c r="O169" t="n">
        <v>6</v>
      </c>
      <c r="P169" t="n">
        <v>0</v>
      </c>
      <c r="Q169" t="n">
        <v>7</v>
      </c>
      <c r="R169" s="2" t="inlineStr">
        <is>
          <t>Brunpudrad nållav
Garnlav
Kolflarnlav
Lunglav
Mörk kolflarnlav
Tretåig hackspett
Dropptaggsvamp</t>
        </is>
      </c>
      <c r="S169">
        <f>HYPERLINK("https://klasma.github.io/Logging_2023/artfynd/A 62318-2019 artfynd.xlsx", "A 62318-2019")</f>
        <v/>
      </c>
      <c r="T169">
        <f>HYPERLINK("https://klasma.github.io/Logging_2023/kartor/A 62318-2019 karta.png", "A 62318-2019")</f>
        <v/>
      </c>
      <c r="V169">
        <f>HYPERLINK("https://klasma.github.io/Logging_2023/klagomål/A 62318-2019 FSC-klagomål.docx", "A 62318-2019")</f>
        <v/>
      </c>
      <c r="W169">
        <f>HYPERLINK("https://klasma.github.io/Logging_2023/klagomålsmail/A 62318-2019 FSC-klagomål mail.docx", "A 62318-2019")</f>
        <v/>
      </c>
      <c r="X169">
        <f>HYPERLINK("https://klasma.github.io/Logging_2023/tillsyn/A 62318-2019 tillsynsbegäran.docx", "A 62318-2019")</f>
        <v/>
      </c>
      <c r="Y169">
        <f>HYPERLINK("https://klasma.github.io/Logging_2023/tillsynsmail/A 62318-2019 tillsynsbegäran mail.docx", "A 62318-2019")</f>
        <v/>
      </c>
      <c r="Z169">
        <f>HYPERLINK("https://klasma.github.io/Logging_2023/fåglar/A 62318-2019 prioriterade fågelarter.docx", "A 62318-2019")</f>
        <v/>
      </c>
    </row>
    <row r="170" ht="15" customHeight="1">
      <c r="A170" t="inlineStr">
        <is>
          <t>A 39809-2020</t>
        </is>
      </c>
      <c r="B170" s="1" t="n">
        <v>44067</v>
      </c>
      <c r="C170" s="1" t="n">
        <v>45707</v>
      </c>
      <c r="D170" t="inlineStr">
        <is>
          <t>DALARNAS LÄN</t>
        </is>
      </c>
      <c r="E170" t="inlineStr">
        <is>
          <t>GAGNEF</t>
        </is>
      </c>
      <c r="G170" t="n">
        <v>8.1</v>
      </c>
      <c r="H170" t="n">
        <v>2</v>
      </c>
      <c r="I170" t="n">
        <v>3</v>
      </c>
      <c r="J170" t="n">
        <v>4</v>
      </c>
      <c r="K170" t="n">
        <v>0</v>
      </c>
      <c r="L170" t="n">
        <v>0</v>
      </c>
      <c r="M170" t="n">
        <v>0</v>
      </c>
      <c r="N170" t="n">
        <v>0</v>
      </c>
      <c r="O170" t="n">
        <v>4</v>
      </c>
      <c r="P170" t="n">
        <v>0</v>
      </c>
      <c r="Q170" t="n">
        <v>7</v>
      </c>
      <c r="R170" s="2" t="inlineStr">
        <is>
          <t>Garnlav
Motaggsvamp
Skrovlig taggsvamp
Talltita
Dropptaggsvamp
Nästlav
Plattlummer</t>
        </is>
      </c>
      <c r="S170">
        <f>HYPERLINK("https://klasma.github.io/Logging_2026/artfynd/A 39809-2020 artfynd.xlsx", "A 39809-2020")</f>
        <v/>
      </c>
      <c r="T170">
        <f>HYPERLINK("https://klasma.github.io/Logging_2026/kartor/A 39809-2020 karta.png", "A 39809-2020")</f>
        <v/>
      </c>
      <c r="V170">
        <f>HYPERLINK("https://klasma.github.io/Logging_2026/klagomål/A 39809-2020 FSC-klagomål.docx", "A 39809-2020")</f>
        <v/>
      </c>
      <c r="W170">
        <f>HYPERLINK("https://klasma.github.io/Logging_2026/klagomålsmail/A 39809-2020 FSC-klagomål mail.docx", "A 39809-2020")</f>
        <v/>
      </c>
      <c r="X170">
        <f>HYPERLINK("https://klasma.github.io/Logging_2026/tillsyn/A 39809-2020 tillsynsbegäran.docx", "A 39809-2020")</f>
        <v/>
      </c>
      <c r="Y170">
        <f>HYPERLINK("https://klasma.github.io/Logging_2026/tillsynsmail/A 39809-2020 tillsynsbegäran mail.docx", "A 39809-2020")</f>
        <v/>
      </c>
      <c r="Z170">
        <f>HYPERLINK("https://klasma.github.io/Logging_2026/fåglar/A 39809-2020 prioriterade fågelarter.docx", "A 39809-2020")</f>
        <v/>
      </c>
    </row>
    <row r="171" ht="15" customHeight="1">
      <c r="A171" t="inlineStr">
        <is>
          <t>A 54028-2020</t>
        </is>
      </c>
      <c r="B171" s="1" t="n">
        <v>44125</v>
      </c>
      <c r="C171" s="1" t="n">
        <v>45707</v>
      </c>
      <c r="D171" t="inlineStr">
        <is>
          <t>DALARNAS LÄN</t>
        </is>
      </c>
      <c r="E171" t="inlineStr">
        <is>
          <t>MORA</t>
        </is>
      </c>
      <c r="G171" t="n">
        <v>10.9</v>
      </c>
      <c r="H171" t="n">
        <v>1</v>
      </c>
      <c r="I171" t="n">
        <v>1</v>
      </c>
      <c r="J171" t="n">
        <v>5</v>
      </c>
      <c r="K171" t="n">
        <v>1</v>
      </c>
      <c r="L171" t="n">
        <v>0</v>
      </c>
      <c r="M171" t="n">
        <v>0</v>
      </c>
      <c r="N171" t="n">
        <v>0</v>
      </c>
      <c r="O171" t="n">
        <v>6</v>
      </c>
      <c r="P171" t="n">
        <v>1</v>
      </c>
      <c r="Q171" t="n">
        <v>7</v>
      </c>
      <c r="R171" s="2" t="inlineStr">
        <is>
          <t>Gräddporing
Kolflarnlav
Kortskaftad ärgspik
Nordtagging
Tretåig hackspett
Vedskivlav
Mindre märgborre</t>
        </is>
      </c>
      <c r="S171">
        <f>HYPERLINK("https://klasma.github.io/Logging_2062/artfynd/A 54028-2020 artfynd.xlsx", "A 54028-2020")</f>
        <v/>
      </c>
      <c r="T171">
        <f>HYPERLINK("https://klasma.github.io/Logging_2062/kartor/A 54028-2020 karta.png", "A 54028-2020")</f>
        <v/>
      </c>
      <c r="V171">
        <f>HYPERLINK("https://klasma.github.io/Logging_2062/klagomål/A 54028-2020 FSC-klagomål.docx", "A 54028-2020")</f>
        <v/>
      </c>
      <c r="W171">
        <f>HYPERLINK("https://klasma.github.io/Logging_2062/klagomålsmail/A 54028-2020 FSC-klagomål mail.docx", "A 54028-2020")</f>
        <v/>
      </c>
      <c r="X171">
        <f>HYPERLINK("https://klasma.github.io/Logging_2062/tillsyn/A 54028-2020 tillsynsbegäran.docx", "A 54028-2020")</f>
        <v/>
      </c>
      <c r="Y171">
        <f>HYPERLINK("https://klasma.github.io/Logging_2062/tillsynsmail/A 54028-2020 tillsynsbegäran mail.docx", "A 54028-2020")</f>
        <v/>
      </c>
      <c r="Z171">
        <f>HYPERLINK("https://klasma.github.io/Logging_2062/fåglar/A 54028-2020 prioriterade fågelarter.docx", "A 54028-2020")</f>
        <v/>
      </c>
    </row>
    <row r="172" ht="15" customHeight="1">
      <c r="A172" t="inlineStr">
        <is>
          <t>A 54380-2020</t>
        </is>
      </c>
      <c r="B172" s="1" t="n">
        <v>44126</v>
      </c>
      <c r="C172" s="1" t="n">
        <v>45707</v>
      </c>
      <c r="D172" t="inlineStr">
        <is>
          <t>DALARNAS LÄN</t>
        </is>
      </c>
      <c r="E172" t="inlineStr">
        <is>
          <t>HEDEMORA</t>
        </is>
      </c>
      <c r="G172" t="n">
        <v>2.4</v>
      </c>
      <c r="H172" t="n">
        <v>3</v>
      </c>
      <c r="I172" t="n">
        <v>4</v>
      </c>
      <c r="J172" t="n">
        <v>0</v>
      </c>
      <c r="K172" t="n">
        <v>1</v>
      </c>
      <c r="L172" t="n">
        <v>0</v>
      </c>
      <c r="M172" t="n">
        <v>0</v>
      </c>
      <c r="N172" t="n">
        <v>0</v>
      </c>
      <c r="O172" t="n">
        <v>1</v>
      </c>
      <c r="P172" t="n">
        <v>1</v>
      </c>
      <c r="Q172" t="n">
        <v>7</v>
      </c>
      <c r="R172" s="2" t="inlineStr">
        <is>
          <t>Knärot
Bronshjon
Fjällig taggsvamp s.str.
Rödgul trumpetsvamp
Svavelriska
Vanlig groda
Revlummer</t>
        </is>
      </c>
      <c r="S172">
        <f>HYPERLINK("https://klasma.github.io/Logging_2083/artfynd/A 54380-2020 artfynd.xlsx", "A 54380-2020")</f>
        <v/>
      </c>
      <c r="T172">
        <f>HYPERLINK("https://klasma.github.io/Logging_2083/kartor/A 54380-2020 karta.png", "A 54380-2020")</f>
        <v/>
      </c>
      <c r="U172">
        <f>HYPERLINK("https://klasma.github.io/Logging_2083/knärot/A 54380-2020 karta knärot.png", "A 54380-2020")</f>
        <v/>
      </c>
      <c r="V172">
        <f>HYPERLINK("https://klasma.github.io/Logging_2083/klagomål/A 54380-2020 FSC-klagomål.docx", "A 54380-2020")</f>
        <v/>
      </c>
      <c r="W172">
        <f>HYPERLINK("https://klasma.github.io/Logging_2083/klagomålsmail/A 54380-2020 FSC-klagomål mail.docx", "A 54380-2020")</f>
        <v/>
      </c>
      <c r="X172">
        <f>HYPERLINK("https://klasma.github.io/Logging_2083/tillsyn/A 54380-2020 tillsynsbegäran.docx", "A 54380-2020")</f>
        <v/>
      </c>
      <c r="Y172">
        <f>HYPERLINK("https://klasma.github.io/Logging_2083/tillsynsmail/A 54380-2020 tillsynsbegäran mail.docx", "A 54380-2020")</f>
        <v/>
      </c>
    </row>
    <row r="173" ht="15" customHeight="1">
      <c r="A173" t="inlineStr">
        <is>
          <t>A 6359-2021</t>
        </is>
      </c>
      <c r="B173" s="1" t="n">
        <v>44232</v>
      </c>
      <c r="C173" s="1" t="n">
        <v>45707</v>
      </c>
      <c r="D173" t="inlineStr">
        <is>
          <t>DALARNAS LÄN</t>
        </is>
      </c>
      <c r="E173" t="inlineStr">
        <is>
          <t>MALUNG-SÄLEN</t>
        </is>
      </c>
      <c r="G173" t="n">
        <v>8.699999999999999</v>
      </c>
      <c r="H173" t="n">
        <v>1</v>
      </c>
      <c r="I173" t="n">
        <v>2</v>
      </c>
      <c r="J173" t="n">
        <v>4</v>
      </c>
      <c r="K173" t="n">
        <v>1</v>
      </c>
      <c r="L173" t="n">
        <v>0</v>
      </c>
      <c r="M173" t="n">
        <v>0</v>
      </c>
      <c r="N173" t="n">
        <v>0</v>
      </c>
      <c r="O173" t="n">
        <v>5</v>
      </c>
      <c r="P173" t="n">
        <v>1</v>
      </c>
      <c r="Q173" t="n">
        <v>7</v>
      </c>
      <c r="R173" s="2" t="inlineStr">
        <is>
          <t>Liten sotlav
Garnlav
Gränsticka
Ullticka
Vedtrappmossa
Luddlav
Spindelblomster</t>
        </is>
      </c>
      <c r="S173">
        <f>HYPERLINK("https://klasma.github.io/Logging_2023/artfynd/A 6359-2021 artfynd.xlsx", "A 6359-2021")</f>
        <v/>
      </c>
      <c r="T173">
        <f>HYPERLINK("https://klasma.github.io/Logging_2023/kartor/A 6359-2021 karta.png", "A 6359-2021")</f>
        <v/>
      </c>
      <c r="V173">
        <f>HYPERLINK("https://klasma.github.io/Logging_2023/klagomål/A 6359-2021 FSC-klagomål.docx", "A 6359-2021")</f>
        <v/>
      </c>
      <c r="W173">
        <f>HYPERLINK("https://klasma.github.io/Logging_2023/klagomålsmail/A 6359-2021 FSC-klagomål mail.docx", "A 6359-2021")</f>
        <v/>
      </c>
      <c r="X173">
        <f>HYPERLINK("https://klasma.github.io/Logging_2023/tillsyn/A 6359-2021 tillsynsbegäran.docx", "A 6359-2021")</f>
        <v/>
      </c>
      <c r="Y173">
        <f>HYPERLINK("https://klasma.github.io/Logging_2023/tillsynsmail/A 6359-2021 tillsynsbegäran mail.docx", "A 6359-2021")</f>
        <v/>
      </c>
    </row>
    <row r="174" ht="15" customHeight="1">
      <c r="A174" t="inlineStr">
        <is>
          <t>A 35844-2021</t>
        </is>
      </c>
      <c r="B174" s="1" t="n">
        <v>44386</v>
      </c>
      <c r="C174" s="1" t="n">
        <v>45707</v>
      </c>
      <c r="D174" t="inlineStr">
        <is>
          <t>DALARNAS LÄN</t>
        </is>
      </c>
      <c r="E174" t="inlineStr">
        <is>
          <t>AVESTA</t>
        </is>
      </c>
      <c r="F174" t="inlineStr">
        <is>
          <t>Sveaskog</t>
        </is>
      </c>
      <c r="G174" t="n">
        <v>4.4</v>
      </c>
      <c r="H174" t="n">
        <v>4</v>
      </c>
      <c r="I174" t="n">
        <v>3</v>
      </c>
      <c r="J174" t="n">
        <v>2</v>
      </c>
      <c r="K174" t="n">
        <v>0</v>
      </c>
      <c r="L174" t="n">
        <v>0</v>
      </c>
      <c r="M174" t="n">
        <v>0</v>
      </c>
      <c r="N174" t="n">
        <v>0</v>
      </c>
      <c r="O174" t="n">
        <v>2</v>
      </c>
      <c r="P174" t="n">
        <v>0</v>
      </c>
      <c r="Q174" t="n">
        <v>7</v>
      </c>
      <c r="R174" s="2" t="inlineStr">
        <is>
          <t>Spillkråka
Talltita
Bollvitmossa
Bronshjon
Nästlav
Fläcknycklar
Revlummer</t>
        </is>
      </c>
      <c r="S174">
        <f>HYPERLINK("https://klasma.github.io/Logging_2084/artfynd/A 35844-2021 artfynd.xlsx", "A 35844-2021")</f>
        <v/>
      </c>
      <c r="T174">
        <f>HYPERLINK("https://klasma.github.io/Logging_2084/kartor/A 35844-2021 karta.png", "A 35844-2021")</f>
        <v/>
      </c>
      <c r="V174">
        <f>HYPERLINK("https://klasma.github.io/Logging_2084/klagomål/A 35844-2021 FSC-klagomål.docx", "A 35844-2021")</f>
        <v/>
      </c>
      <c r="W174">
        <f>HYPERLINK("https://klasma.github.io/Logging_2084/klagomålsmail/A 35844-2021 FSC-klagomål mail.docx", "A 35844-2021")</f>
        <v/>
      </c>
      <c r="X174">
        <f>HYPERLINK("https://klasma.github.io/Logging_2084/tillsyn/A 35844-2021 tillsynsbegäran.docx", "A 35844-2021")</f>
        <v/>
      </c>
      <c r="Y174">
        <f>HYPERLINK("https://klasma.github.io/Logging_2084/tillsynsmail/A 35844-2021 tillsynsbegäran mail.docx", "A 35844-2021")</f>
        <v/>
      </c>
      <c r="Z174">
        <f>HYPERLINK("https://klasma.github.io/Logging_2084/fåglar/A 35844-2021 prioriterade fågelarter.docx", "A 35844-2021")</f>
        <v/>
      </c>
    </row>
    <row r="175" ht="15" customHeight="1">
      <c r="A175" t="inlineStr">
        <is>
          <t>A 67302-2021</t>
        </is>
      </c>
      <c r="B175" s="1" t="n">
        <v>44523</v>
      </c>
      <c r="C175" s="1" t="n">
        <v>45707</v>
      </c>
      <c r="D175" t="inlineStr">
        <is>
          <t>DALARNAS LÄN</t>
        </is>
      </c>
      <c r="E175" t="inlineStr">
        <is>
          <t>MALUNG-SÄLEN</t>
        </is>
      </c>
      <c r="G175" t="n">
        <v>6.6</v>
      </c>
      <c r="H175" t="n">
        <v>0</v>
      </c>
      <c r="I175" t="n">
        <v>2</v>
      </c>
      <c r="J175" t="n">
        <v>4</v>
      </c>
      <c r="K175" t="n">
        <v>1</v>
      </c>
      <c r="L175" t="n">
        <v>0</v>
      </c>
      <c r="M175" t="n">
        <v>0</v>
      </c>
      <c r="N175" t="n">
        <v>0</v>
      </c>
      <c r="O175" t="n">
        <v>5</v>
      </c>
      <c r="P175" t="n">
        <v>1</v>
      </c>
      <c r="Q175" t="n">
        <v>7</v>
      </c>
      <c r="R175" s="2" t="inlineStr">
        <is>
          <t>Rynkskinn
Gammelgransskål
Garnlav
Ullticka
Violettgrå tagellav
Bronshjon
Vågbandad barkbock</t>
        </is>
      </c>
      <c r="S175">
        <f>HYPERLINK("https://klasma.github.io/Logging_2023/artfynd/A 67302-2021 artfynd.xlsx", "A 67302-2021")</f>
        <v/>
      </c>
      <c r="T175">
        <f>HYPERLINK("https://klasma.github.io/Logging_2023/kartor/A 67302-2021 karta.png", "A 67302-2021")</f>
        <v/>
      </c>
      <c r="V175">
        <f>HYPERLINK("https://klasma.github.io/Logging_2023/klagomål/A 67302-2021 FSC-klagomål.docx", "A 67302-2021")</f>
        <v/>
      </c>
      <c r="W175">
        <f>HYPERLINK("https://klasma.github.io/Logging_2023/klagomålsmail/A 67302-2021 FSC-klagomål mail.docx", "A 67302-2021")</f>
        <v/>
      </c>
      <c r="X175">
        <f>HYPERLINK("https://klasma.github.io/Logging_2023/tillsyn/A 67302-2021 tillsynsbegäran.docx", "A 67302-2021")</f>
        <v/>
      </c>
      <c r="Y175">
        <f>HYPERLINK("https://klasma.github.io/Logging_2023/tillsynsmail/A 67302-2021 tillsynsbegäran mail.docx", "A 67302-2021")</f>
        <v/>
      </c>
    </row>
    <row r="176" ht="15" customHeight="1">
      <c r="A176" t="inlineStr">
        <is>
          <t>A 73456-2021</t>
        </is>
      </c>
      <c r="B176" s="1" t="n">
        <v>44551</v>
      </c>
      <c r="C176" s="1" t="n">
        <v>45707</v>
      </c>
      <c r="D176" t="inlineStr">
        <is>
          <t>DALARNAS LÄN</t>
        </is>
      </c>
      <c r="E176" t="inlineStr">
        <is>
          <t>HEDEMORA</t>
        </is>
      </c>
      <c r="G176" t="n">
        <v>5.9</v>
      </c>
      <c r="H176" t="n">
        <v>5</v>
      </c>
      <c r="I176" t="n">
        <v>1</v>
      </c>
      <c r="J176" t="n">
        <v>4</v>
      </c>
      <c r="K176" t="n">
        <v>1</v>
      </c>
      <c r="L176" t="n">
        <v>0</v>
      </c>
      <c r="M176" t="n">
        <v>0</v>
      </c>
      <c r="N176" t="n">
        <v>0</v>
      </c>
      <c r="O176" t="n">
        <v>5</v>
      </c>
      <c r="P176" t="n">
        <v>1</v>
      </c>
      <c r="Q176" t="n">
        <v>7</v>
      </c>
      <c r="R176" s="2" t="inlineStr">
        <is>
          <t>Knärot
Slaguggla
Spillkråka
Talltita
Ullticka
Vedticka
Fläcknycklar</t>
        </is>
      </c>
      <c r="S176">
        <f>HYPERLINK("https://klasma.github.io/Logging_2083/artfynd/A 73456-2021 artfynd.xlsx", "A 73456-2021")</f>
        <v/>
      </c>
      <c r="T176">
        <f>HYPERLINK("https://klasma.github.io/Logging_2083/kartor/A 73456-2021 karta.png", "A 73456-2021")</f>
        <v/>
      </c>
      <c r="U176">
        <f>HYPERLINK("https://klasma.github.io/Logging_2083/knärot/A 73456-2021 karta knärot.png", "A 73456-2021")</f>
        <v/>
      </c>
      <c r="V176">
        <f>HYPERLINK("https://klasma.github.io/Logging_2083/klagomål/A 73456-2021 FSC-klagomål.docx", "A 73456-2021")</f>
        <v/>
      </c>
      <c r="W176">
        <f>HYPERLINK("https://klasma.github.io/Logging_2083/klagomålsmail/A 73456-2021 FSC-klagomål mail.docx", "A 73456-2021")</f>
        <v/>
      </c>
      <c r="X176">
        <f>HYPERLINK("https://klasma.github.io/Logging_2083/tillsyn/A 73456-2021 tillsynsbegäran.docx", "A 73456-2021")</f>
        <v/>
      </c>
      <c r="Y176">
        <f>HYPERLINK("https://klasma.github.io/Logging_2083/tillsynsmail/A 73456-2021 tillsynsbegäran mail.docx", "A 73456-2021")</f>
        <v/>
      </c>
      <c r="Z176">
        <f>HYPERLINK("https://klasma.github.io/Logging_2083/fåglar/A 73456-2021 prioriterade fågelarter.docx", "A 73456-2021")</f>
        <v/>
      </c>
    </row>
    <row r="177" ht="15" customHeight="1">
      <c r="A177" t="inlineStr">
        <is>
          <t>A 8305-2022</t>
        </is>
      </c>
      <c r="B177" s="1" t="n">
        <v>44610</v>
      </c>
      <c r="C177" s="1" t="n">
        <v>45707</v>
      </c>
      <c r="D177" t="inlineStr">
        <is>
          <t>DALARNAS LÄN</t>
        </is>
      </c>
      <c r="E177" t="inlineStr">
        <is>
          <t>MALUNG-SÄLEN</t>
        </is>
      </c>
      <c r="G177" t="n">
        <v>2.7</v>
      </c>
      <c r="H177" t="n">
        <v>0</v>
      </c>
      <c r="I177" t="n">
        <v>1</v>
      </c>
      <c r="J177" t="n">
        <v>6</v>
      </c>
      <c r="K177" t="n">
        <v>0</v>
      </c>
      <c r="L177" t="n">
        <v>0</v>
      </c>
      <c r="M177" t="n">
        <v>0</v>
      </c>
      <c r="N177" t="n">
        <v>0</v>
      </c>
      <c r="O177" t="n">
        <v>6</v>
      </c>
      <c r="P177" t="n">
        <v>0</v>
      </c>
      <c r="Q177" t="n">
        <v>7</v>
      </c>
      <c r="R177" s="2" t="inlineStr">
        <is>
          <t>Garnlav
Mörk kolflarnlav
Skrovlig taggsvamp
Svart taggsvamp
Vaxspindling
Vedskivlav
Mindre märgborre</t>
        </is>
      </c>
      <c r="S177">
        <f>HYPERLINK("https://klasma.github.io/Logging_2023/artfynd/A 8305-2022 artfynd.xlsx", "A 8305-2022")</f>
        <v/>
      </c>
      <c r="T177">
        <f>HYPERLINK("https://klasma.github.io/Logging_2023/kartor/A 8305-2022 karta.png", "A 8305-2022")</f>
        <v/>
      </c>
      <c r="V177">
        <f>HYPERLINK("https://klasma.github.io/Logging_2023/klagomål/A 8305-2022 FSC-klagomål.docx", "A 8305-2022")</f>
        <v/>
      </c>
      <c r="W177">
        <f>HYPERLINK("https://klasma.github.io/Logging_2023/klagomålsmail/A 8305-2022 FSC-klagomål mail.docx", "A 8305-2022")</f>
        <v/>
      </c>
      <c r="X177">
        <f>HYPERLINK("https://klasma.github.io/Logging_2023/tillsyn/A 8305-2022 tillsynsbegäran.docx", "A 8305-2022")</f>
        <v/>
      </c>
      <c r="Y177">
        <f>HYPERLINK("https://klasma.github.io/Logging_2023/tillsynsmail/A 8305-2022 tillsynsbegäran mail.docx", "A 8305-2022")</f>
        <v/>
      </c>
    </row>
    <row r="178" ht="15" customHeight="1">
      <c r="A178" t="inlineStr">
        <is>
          <t>A 47504-2022</t>
        </is>
      </c>
      <c r="B178" s="1" t="n">
        <v>44853</v>
      </c>
      <c r="C178" s="1" t="n">
        <v>45707</v>
      </c>
      <c r="D178" t="inlineStr">
        <is>
          <t>DALARNAS LÄN</t>
        </is>
      </c>
      <c r="E178" t="inlineStr">
        <is>
          <t>ÄLVDALEN</t>
        </is>
      </c>
      <c r="F178" t="inlineStr">
        <is>
          <t>Bergvik skog väst AB</t>
        </is>
      </c>
      <c r="G178" t="n">
        <v>14.7</v>
      </c>
      <c r="H178" t="n">
        <v>0</v>
      </c>
      <c r="I178" t="n">
        <v>1</v>
      </c>
      <c r="J178" t="n">
        <v>5</v>
      </c>
      <c r="K178" t="n">
        <v>1</v>
      </c>
      <c r="L178" t="n">
        <v>0</v>
      </c>
      <c r="M178" t="n">
        <v>0</v>
      </c>
      <c r="N178" t="n">
        <v>0</v>
      </c>
      <c r="O178" t="n">
        <v>6</v>
      </c>
      <c r="P178" t="n">
        <v>1</v>
      </c>
      <c r="Q178" t="n">
        <v>7</v>
      </c>
      <c r="R178" s="2" t="inlineStr">
        <is>
          <t>Liten hornflikmossa
Dvärgbägarlav
Hornvaxskinn
Nordtagging
Vaddporing
Vedtrappmossa
Dropptaggsvamp</t>
        </is>
      </c>
      <c r="S178">
        <f>HYPERLINK("https://klasma.github.io/Logging_2039/artfynd/A 47504-2022 artfynd.xlsx", "A 47504-2022")</f>
        <v/>
      </c>
      <c r="T178">
        <f>HYPERLINK("https://klasma.github.io/Logging_2039/kartor/A 47504-2022 karta.png", "A 47504-2022")</f>
        <v/>
      </c>
      <c r="V178">
        <f>HYPERLINK("https://klasma.github.io/Logging_2039/klagomål/A 47504-2022 FSC-klagomål.docx", "A 47504-2022")</f>
        <v/>
      </c>
      <c r="W178">
        <f>HYPERLINK("https://klasma.github.io/Logging_2039/klagomålsmail/A 47504-2022 FSC-klagomål mail.docx", "A 47504-2022")</f>
        <v/>
      </c>
      <c r="X178">
        <f>HYPERLINK("https://klasma.github.io/Logging_2039/tillsyn/A 47504-2022 tillsynsbegäran.docx", "A 47504-2022")</f>
        <v/>
      </c>
      <c r="Y178">
        <f>HYPERLINK("https://klasma.github.io/Logging_2039/tillsynsmail/A 47504-2022 tillsynsbegäran mail.docx", "A 47504-2022")</f>
        <v/>
      </c>
    </row>
    <row r="179" ht="15" customHeight="1">
      <c r="A179" t="inlineStr">
        <is>
          <t>A 52620-2022</t>
        </is>
      </c>
      <c r="B179" s="1" t="n">
        <v>44874</v>
      </c>
      <c r="C179" s="1" t="n">
        <v>45707</v>
      </c>
      <c r="D179" t="inlineStr">
        <is>
          <t>DALARNAS LÄN</t>
        </is>
      </c>
      <c r="E179" t="inlineStr">
        <is>
          <t>RÄTTVIK</t>
        </is>
      </c>
      <c r="F179" t="inlineStr">
        <is>
          <t>Bergvik skog väst AB</t>
        </is>
      </c>
      <c r="G179" t="n">
        <v>46.7</v>
      </c>
      <c r="H179" t="n">
        <v>0</v>
      </c>
      <c r="I179" t="n">
        <v>1</v>
      </c>
      <c r="J179" t="n">
        <v>2</v>
      </c>
      <c r="K179" t="n">
        <v>3</v>
      </c>
      <c r="L179" t="n">
        <v>1</v>
      </c>
      <c r="M179" t="n">
        <v>0</v>
      </c>
      <c r="N179" t="n">
        <v>0</v>
      </c>
      <c r="O179" t="n">
        <v>6</v>
      </c>
      <c r="P179" t="n">
        <v>4</v>
      </c>
      <c r="Q179" t="n">
        <v>7</v>
      </c>
      <c r="R179" s="2" t="inlineStr">
        <is>
          <t>Urskogsporing
Gräddporing
Spadskinn
Tajgataggsvamp
Svartvit taggsvamp
Vaddporing
Vedticka</t>
        </is>
      </c>
      <c r="S179">
        <f>HYPERLINK("https://klasma.github.io/Logging_2031/artfynd/A 52620-2022 artfynd.xlsx", "A 52620-2022")</f>
        <v/>
      </c>
      <c r="T179">
        <f>HYPERLINK("https://klasma.github.io/Logging_2031/kartor/A 52620-2022 karta.png", "A 52620-2022")</f>
        <v/>
      </c>
      <c r="V179">
        <f>HYPERLINK("https://klasma.github.io/Logging_2031/klagomål/A 52620-2022 FSC-klagomål.docx", "A 52620-2022")</f>
        <v/>
      </c>
      <c r="W179">
        <f>HYPERLINK("https://klasma.github.io/Logging_2031/klagomålsmail/A 52620-2022 FSC-klagomål mail.docx", "A 52620-2022")</f>
        <v/>
      </c>
      <c r="X179">
        <f>HYPERLINK("https://klasma.github.io/Logging_2031/tillsyn/A 52620-2022 tillsynsbegäran.docx", "A 52620-2022")</f>
        <v/>
      </c>
      <c r="Y179">
        <f>HYPERLINK("https://klasma.github.io/Logging_2031/tillsynsmail/A 52620-2022 tillsynsbegäran mail.docx", "A 52620-2022")</f>
        <v/>
      </c>
    </row>
    <row r="180" ht="15" customHeight="1">
      <c r="A180" t="inlineStr">
        <is>
          <t>A 5064-2023</t>
        </is>
      </c>
      <c r="B180" s="1" t="n">
        <v>44958</v>
      </c>
      <c r="C180" s="1" t="n">
        <v>45707</v>
      </c>
      <c r="D180" t="inlineStr">
        <is>
          <t>DALARNAS LÄN</t>
        </is>
      </c>
      <c r="E180" t="inlineStr">
        <is>
          <t>MORA</t>
        </is>
      </c>
      <c r="G180" t="n">
        <v>3.9</v>
      </c>
      <c r="H180" t="n">
        <v>1</v>
      </c>
      <c r="I180" t="n">
        <v>1</v>
      </c>
      <c r="J180" t="n">
        <v>6</v>
      </c>
      <c r="K180" t="n">
        <v>0</v>
      </c>
      <c r="L180" t="n">
        <v>0</v>
      </c>
      <c r="M180" t="n">
        <v>0</v>
      </c>
      <c r="N180" t="n">
        <v>0</v>
      </c>
      <c r="O180" t="n">
        <v>6</v>
      </c>
      <c r="P180" t="n">
        <v>0</v>
      </c>
      <c r="Q180" t="n">
        <v>7</v>
      </c>
      <c r="R180" s="2" t="inlineStr">
        <is>
          <t>Garnlav
Spillkråka
Tallticka
Ullticka
Vedskivlav
Vitgrynig nållav
Bronshjon</t>
        </is>
      </c>
      <c r="S180">
        <f>HYPERLINK("https://klasma.github.io/Logging_2062/artfynd/A 5064-2023 artfynd.xlsx", "A 5064-2023")</f>
        <v/>
      </c>
      <c r="T180">
        <f>HYPERLINK("https://klasma.github.io/Logging_2062/kartor/A 5064-2023 karta.png", "A 5064-2023")</f>
        <v/>
      </c>
      <c r="V180">
        <f>HYPERLINK("https://klasma.github.io/Logging_2062/klagomål/A 5064-2023 FSC-klagomål.docx", "A 5064-2023")</f>
        <v/>
      </c>
      <c r="W180">
        <f>HYPERLINK("https://klasma.github.io/Logging_2062/klagomålsmail/A 5064-2023 FSC-klagomål mail.docx", "A 5064-2023")</f>
        <v/>
      </c>
      <c r="X180">
        <f>HYPERLINK("https://klasma.github.io/Logging_2062/tillsyn/A 5064-2023 tillsynsbegäran.docx", "A 5064-2023")</f>
        <v/>
      </c>
      <c r="Y180">
        <f>HYPERLINK("https://klasma.github.io/Logging_2062/tillsynsmail/A 5064-2023 tillsynsbegäran mail.docx", "A 5064-2023")</f>
        <v/>
      </c>
      <c r="Z180">
        <f>HYPERLINK("https://klasma.github.io/Logging_2062/fåglar/A 5064-2023 prioriterade fågelarter.docx", "A 5064-2023")</f>
        <v/>
      </c>
    </row>
    <row r="181" ht="15" customHeight="1">
      <c r="A181" t="inlineStr">
        <is>
          <t>A 35869-2023</t>
        </is>
      </c>
      <c r="B181" s="1" t="n">
        <v>45147</v>
      </c>
      <c r="C181" s="1" t="n">
        <v>45707</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45707</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45707</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45707</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45707</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45707</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45707</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45707</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45707</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45707</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45707</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45707</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45707</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45707</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45707</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45707</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45707</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45707</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45707</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45707</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45707</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45707</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45707</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45707</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45707</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45707</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45707</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45707</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45707</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45707</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45707</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45707</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45707</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45707</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45707</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45707</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45707</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45707</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45707</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45707</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45707</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45707</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45707</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45707</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45707</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45707</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45707</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45707</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45707</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45707</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45707</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45707</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45707</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45707</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45707</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45707</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45707</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45707</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45707</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45707</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45707</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45707</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45707</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45707</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45707</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45707</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45707</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45707</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45707</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45707</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45707</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45707</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45707</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45707</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45707</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45707</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45707</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45707</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45707</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45707</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45707</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45707</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45707</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45707</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45707</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45707</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45707</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45707</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45707</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45707</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45707</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45707</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45707</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45707</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45707</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45707</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45707</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45707</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45707</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45707</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45707</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45707</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45707</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45707</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45707</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45707</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45707</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45707</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45707</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45707</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45707</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45707</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45707</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45707</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45707</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45707</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45707</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45707</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45707</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45707</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45707</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45707</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45707</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45707</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45707</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45707</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45707</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45707</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45707</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45707</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45707</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45707</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45707</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45707</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45707</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45707</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45707</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45707</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45707</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45707</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45707</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45707</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45707</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45707</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45707</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45707</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45707</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45707</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45707</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45707</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45707</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45707</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45707</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45707</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45707</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45707</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45707</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45707</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45707</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45707</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45707</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45707</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45707</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45707</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45707</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45707</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45707</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45707</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45707</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45707</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45707</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45707</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45707</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45707</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45707</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45707</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45707</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45707</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45707</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45707</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45707</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45707</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45707</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45707</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45707</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45707</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45707</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45707</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45707</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45707</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45707</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45707</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45707</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45707</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45707</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45707</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45707</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45707</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45707</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45707</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45707</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45707</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45707</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45707</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45707</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45707</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45707</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45707</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45707</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45707</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45707</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45707</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45707</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45707</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45707</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45707</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45707</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45707</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45707</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45707</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45707</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45707</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45707</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45707</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45707</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45707</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45707</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45707</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45707</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45707</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45707</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45707</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45707</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45707</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45707</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45707</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45707</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45707</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45707</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45707</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45707</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45707</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45707</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45707</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45707</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45707</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45707</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45707</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45707</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45707</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45707</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45707</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45707</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45707</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45707</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45707</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45707</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45707</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45707</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45707</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45707</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45707</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45707</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45707</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45707</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45707</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45707</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45707</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45707</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45707</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45707</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45707</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45707</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45707</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45707</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45707</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45707</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45707</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45707</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45707</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45707</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45707</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45707</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45707</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45707</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45707</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45707</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45707</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45707</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45707</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45707</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45707</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45707</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45707</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45707</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45707</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45707</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45707</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45707</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45707</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45707</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45707</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45707</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45707</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45707</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45707</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45707</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45707</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45707</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45707</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45707</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45707</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45707</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45707</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45707</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45707</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45707</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45707</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45707</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45707</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45707</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45707</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45707</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45707</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45707</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45707</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45707</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45707</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45707</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45707</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45707</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45707</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45707</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45707</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45707</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45707</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45707</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45707</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45707</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45707</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45707</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45707</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45707</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45707</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45707</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45707</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45707</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45707</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45707</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45707</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45707</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45707</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45707</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45707</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45707</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45707</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45707</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45707</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45707</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45707</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45707</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45707</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45707</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45707</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45707</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45707</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45707</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45707</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45707</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45707</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45707</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45707</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45707</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45707</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45707</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45707</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45707</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45707</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45707</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45707</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45707</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45707</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45707</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45707</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45707</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45707</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45707</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45707</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45707</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45707</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45707</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45707</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45707</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45707</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45707</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45707</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45707</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45707</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45707</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45707</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45707</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45707</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45707</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45707</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45707</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45707</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45707</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45707</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45707</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45707</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45707</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45707</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45707</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45707</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45707</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45707</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45707</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45707</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45707</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45707</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45707</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45707</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45707</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45707</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45707</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45707</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45707</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45707</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45707</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45707</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45707</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45707</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45707</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45707</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45707</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45707</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45707</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45707</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45707</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45707</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45707</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45707</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45707</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45707</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45707</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45707</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45707</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45707</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45707</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45707</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45707</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45707</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45707</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45707</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45707</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45707</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45707</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45707</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45707</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45707</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45707</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45707</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45707</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45707</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45707</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45707</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45707</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45707</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45707</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3060-2025</t>
        </is>
      </c>
      <c r="B650" s="1" t="n">
        <v>45678</v>
      </c>
      <c r="C650" s="1" t="n">
        <v>45707</v>
      </c>
      <c r="D650" t="inlineStr">
        <is>
          <t>DALARNAS LÄN</t>
        </is>
      </c>
      <c r="E650" t="inlineStr">
        <is>
          <t>BORLÄNGE</t>
        </is>
      </c>
      <c r="F650" t="inlineStr">
        <is>
          <t>Kommuner</t>
        </is>
      </c>
      <c r="G650" t="n">
        <v>5</v>
      </c>
      <c r="H650" t="n">
        <v>0</v>
      </c>
      <c r="I650" t="n">
        <v>0</v>
      </c>
      <c r="J650" t="n">
        <v>1</v>
      </c>
      <c r="K650" t="n">
        <v>1</v>
      </c>
      <c r="L650" t="n">
        <v>0</v>
      </c>
      <c r="M650" t="n">
        <v>0</v>
      </c>
      <c r="N650" t="n">
        <v>0</v>
      </c>
      <c r="O650" t="n">
        <v>2</v>
      </c>
      <c r="P650" t="n">
        <v>1</v>
      </c>
      <c r="Q650" t="n">
        <v>2</v>
      </c>
      <c r="R650" s="2" t="inlineStr">
        <is>
          <t>Rynkskinn
Ullticka</t>
        </is>
      </c>
      <c r="S650">
        <f>HYPERLINK("https://klasma.github.io/Logging_2081/artfynd/A 3060-2025 artfynd.xlsx", "A 3060-2025")</f>
        <v/>
      </c>
      <c r="T650">
        <f>HYPERLINK("https://klasma.github.io/Logging_2081/kartor/A 3060-2025 karta.png", "A 3060-2025")</f>
        <v/>
      </c>
      <c r="V650">
        <f>HYPERLINK("https://klasma.github.io/Logging_2081/klagomål/A 3060-2025 FSC-klagomål.docx", "A 3060-2025")</f>
        <v/>
      </c>
      <c r="W650">
        <f>HYPERLINK("https://klasma.github.io/Logging_2081/klagomålsmail/A 3060-2025 FSC-klagomål mail.docx", "A 3060-2025")</f>
        <v/>
      </c>
      <c r="X650">
        <f>HYPERLINK("https://klasma.github.io/Logging_2081/tillsyn/A 3060-2025 tillsynsbegäran.docx", "A 3060-2025")</f>
        <v/>
      </c>
      <c r="Y650">
        <f>HYPERLINK("https://klasma.github.io/Logging_2081/tillsynsmail/A 3060-2025 tillsynsbegäran mail.docx", "A 3060-2025")</f>
        <v/>
      </c>
    </row>
    <row r="651" ht="15" customHeight="1">
      <c r="A651" t="inlineStr">
        <is>
          <t>A 3067-2025</t>
        </is>
      </c>
      <c r="B651" s="1" t="n">
        <v>45678</v>
      </c>
      <c r="C651" s="1" t="n">
        <v>45707</v>
      </c>
      <c r="D651" t="inlineStr">
        <is>
          <t>DALARNAS LÄN</t>
        </is>
      </c>
      <c r="E651" t="inlineStr">
        <is>
          <t>BORLÄNGE</t>
        </is>
      </c>
      <c r="F651" t="inlineStr">
        <is>
          <t>Kommuner</t>
        </is>
      </c>
      <c r="G651" t="n">
        <v>8</v>
      </c>
      <c r="H651" t="n">
        <v>0</v>
      </c>
      <c r="I651" t="n">
        <v>1</v>
      </c>
      <c r="J651" t="n">
        <v>1</v>
      </c>
      <c r="K651" t="n">
        <v>0</v>
      </c>
      <c r="L651" t="n">
        <v>0</v>
      </c>
      <c r="M651" t="n">
        <v>0</v>
      </c>
      <c r="N651" t="n">
        <v>0</v>
      </c>
      <c r="O651" t="n">
        <v>1</v>
      </c>
      <c r="P651" t="n">
        <v>0</v>
      </c>
      <c r="Q651" t="n">
        <v>2</v>
      </c>
      <c r="R651" s="2" t="inlineStr">
        <is>
          <t>Garnlav
Vedticka</t>
        </is>
      </c>
      <c r="S651">
        <f>HYPERLINK("https://klasma.github.io/Logging_2081/artfynd/A 3067-2025 artfynd.xlsx", "A 3067-2025")</f>
        <v/>
      </c>
      <c r="T651">
        <f>HYPERLINK("https://klasma.github.io/Logging_2081/kartor/A 3067-2025 karta.png",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row>
    <row r="652" ht="15" customHeight="1">
      <c r="A652" t="inlineStr">
        <is>
          <t>A 5851-2025</t>
        </is>
      </c>
      <c r="B652" s="1" t="n">
        <v>45695</v>
      </c>
      <c r="C652" s="1" t="n">
        <v>45707</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45707</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45707</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45707</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45707</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45707</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45707</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45707</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45707</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45707</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45707</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45707</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45707</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45707</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45707</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45707</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45707</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45707</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45707</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45707</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45707</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45707</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45707</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45707</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45707</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45707</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45707</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45707</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45707</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45707</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45707</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45707</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45707</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45707</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45707</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45707</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45707</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45707</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45707</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45707</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45707</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45707</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45707</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45707</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45707</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45707</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45707</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45707</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45707</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45707</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45707</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45707</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45707</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45707</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45707</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45707</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45707</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45707</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45707</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45707</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45707</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45707</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45707</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45707</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45707</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45707</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45707</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45707</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45707</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45707</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45707</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45707</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45707</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45707</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45707</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45707</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45707</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45707</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45707</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45707</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45707</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45707</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45707</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45707</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45707</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45707</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45707</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45707</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45707</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45707</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45707</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45707</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45707</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45707</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45707</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45707</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45707</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45707</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45707</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45707</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45707</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45707</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45707</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45707</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45707</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45707</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45707</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45707</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45707</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45707</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45707</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45707</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45707</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45707</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45707</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45707</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45707</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45707</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45707</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45707</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45707</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45707</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45707</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45707</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45707</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45707</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45707</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45707</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45707</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45707</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45707</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45707</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45707</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45707</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45707</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45707</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45707</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45707</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45707</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45707</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45707</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45707</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45707</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45707</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45707</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45707</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45707</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45707</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45707</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45707</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45707</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45707</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45707</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45707</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45707</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45707</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45707</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45707</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45707</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45707</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45707</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45707</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45707</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45707</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45707</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45707</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45707</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45707</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45707</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45707</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45707</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45707</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45707</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45707</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45707</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45707</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45707</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45707</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45707</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45707</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45707</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45707</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45707</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45707</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45707</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45707</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45707</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45707</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45707</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45707</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45707</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45707</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45707</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45707</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45707</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45707</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45707</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45707</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45707</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45707</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45707</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45707</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45707</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45707</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45707</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45707</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45707</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45707</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45707</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45707</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45707</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45707</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45707</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45707</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45707</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45707</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45707</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45707</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45707</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45707</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45707</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45707</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45707</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45707</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45707</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45707</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45707</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45707</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45707</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45707</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45707</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45707</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45707</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45707</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45707</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45707</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45707</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45707</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45707</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45707</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45707</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45707</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45707</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45707</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45707</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45707</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45707</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45707</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45707</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45707</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45707</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45707</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45707</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45707</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45707</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45707</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45707</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45707</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45707</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45707</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45707</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45707</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45707</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45707</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45707</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45707</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45707</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45707</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45707</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45707</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45707</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45707</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45707</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45707</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45707</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45707</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45707</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45707</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45707</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45707</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45707</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45707</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45707</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45707</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45707</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45707</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45707</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45707</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45707</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45707</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45707</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45707</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45707</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45707</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45707</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45707</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45707</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45707</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45707</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45707</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45707</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45707</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45707</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45707</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45707</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45707</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45707</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45707</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45707</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45707</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45707</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45707</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45707</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45707</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45707</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45707</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45707</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45707</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45707</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45707</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45707</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45707</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45707</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45707</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45707</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45707</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45707</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45707</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45707</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45707</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45707</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45707</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45707</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45707</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45707</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45707</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45707</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45707</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45707</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45707</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45707</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45707</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45707</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45707</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45707</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45707</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45707</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45707</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45707</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45707</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45707</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45707</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45707</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45707</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45707</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45707</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45707</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45707</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45707</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45707</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45707</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45707</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45707</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45707</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45707</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45707</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45707</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45707</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45707</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45707</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45707</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45707</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45707</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45707</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45707</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45707</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45707</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45707</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45707</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45707</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45707</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45707</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45707</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45707</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45707</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45707</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45707</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45707</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45707</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45707</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45707</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45707</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45707</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45707</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45707</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45707</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45707</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45707</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45707</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45707</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45707</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45707</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45707</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45707</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45707</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45707</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2940-2025</t>
        </is>
      </c>
      <c r="B1058" s="1" t="n">
        <v>45678</v>
      </c>
      <c r="C1058" s="1" t="n">
        <v>45707</v>
      </c>
      <c r="D1058" t="inlineStr">
        <is>
          <t>DALARNAS LÄN</t>
        </is>
      </c>
      <c r="E1058" t="inlineStr">
        <is>
          <t>MALUNG-SÄLEN</t>
        </is>
      </c>
      <c r="G1058" t="n">
        <v>3.8</v>
      </c>
      <c r="H1058" t="n">
        <v>0</v>
      </c>
      <c r="I1058" t="n">
        <v>0</v>
      </c>
      <c r="J1058" t="n">
        <v>1</v>
      </c>
      <c r="K1058" t="n">
        <v>0</v>
      </c>
      <c r="L1058" t="n">
        <v>0</v>
      </c>
      <c r="M1058" t="n">
        <v>0</v>
      </c>
      <c r="N1058" t="n">
        <v>0</v>
      </c>
      <c r="O1058" t="n">
        <v>1</v>
      </c>
      <c r="P1058" t="n">
        <v>0</v>
      </c>
      <c r="Q1058" t="n">
        <v>1</v>
      </c>
      <c r="R1058" s="2" t="inlineStr">
        <is>
          <t>Garnlav</t>
        </is>
      </c>
      <c r="S1058">
        <f>HYPERLINK("https://klasma.github.io/Logging_2023/artfynd/A 2940-2025 artfynd.xlsx", "A 2940-2025")</f>
        <v/>
      </c>
      <c r="T1058">
        <f>HYPERLINK("https://klasma.github.io/Logging_2023/kartor/A 2940-2025 karta.png", "A 2940-2025")</f>
        <v/>
      </c>
      <c r="V1058">
        <f>HYPERLINK("https://klasma.github.io/Logging_2023/klagomål/A 2940-2025 FSC-klagomål.docx", "A 2940-2025")</f>
        <v/>
      </c>
      <c r="W1058">
        <f>HYPERLINK("https://klasma.github.io/Logging_2023/klagomålsmail/A 2940-2025 FSC-klagomål mail.docx", "A 2940-2025")</f>
        <v/>
      </c>
      <c r="X1058">
        <f>HYPERLINK("https://klasma.github.io/Logging_2023/tillsyn/A 2940-2025 tillsynsbegäran.docx", "A 2940-2025")</f>
        <v/>
      </c>
      <c r="Y1058">
        <f>HYPERLINK("https://klasma.github.io/Logging_2023/tillsynsmail/A 2940-2025 tillsynsbegäran mail.docx", "A 2940-2025")</f>
        <v/>
      </c>
    </row>
    <row r="1059" ht="15" customHeight="1">
      <c r="A1059" t="inlineStr">
        <is>
          <t>A 3006-2025</t>
        </is>
      </c>
      <c r="B1059" s="1" t="n">
        <v>45678</v>
      </c>
      <c r="C1059" s="1" t="n">
        <v>45707</v>
      </c>
      <c r="D1059" t="inlineStr">
        <is>
          <t>DALARNAS LÄN</t>
        </is>
      </c>
      <c r="E1059" t="inlineStr">
        <is>
          <t>BORLÄNGE</t>
        </is>
      </c>
      <c r="F1059" t="inlineStr">
        <is>
          <t>Kommuner</t>
        </is>
      </c>
      <c r="G1059" t="n">
        <v>5.8</v>
      </c>
      <c r="H1059" t="n">
        <v>1</v>
      </c>
      <c r="I1059" t="n">
        <v>0</v>
      </c>
      <c r="J1059" t="n">
        <v>0</v>
      </c>
      <c r="K1059" t="n">
        <v>0</v>
      </c>
      <c r="L1059" t="n">
        <v>0</v>
      </c>
      <c r="M1059" t="n">
        <v>0</v>
      </c>
      <c r="N1059" t="n">
        <v>0</v>
      </c>
      <c r="O1059" t="n">
        <v>0</v>
      </c>
      <c r="P1059" t="n">
        <v>0</v>
      </c>
      <c r="Q1059" t="n">
        <v>1</v>
      </c>
      <c r="R1059" s="2" t="inlineStr">
        <is>
          <t>Vanlig groda</t>
        </is>
      </c>
      <c r="S1059">
        <f>HYPERLINK("https://klasma.github.io/Logging_2081/artfynd/A 3006-2025 artfynd.xlsx", "A 3006-2025")</f>
        <v/>
      </c>
      <c r="T1059">
        <f>HYPERLINK("https://klasma.github.io/Logging_2081/kartor/A 3006-2025 karta.png", "A 3006-2025")</f>
        <v/>
      </c>
      <c r="V1059">
        <f>HYPERLINK("https://klasma.github.io/Logging_2081/klagomål/A 3006-2025 FSC-klagomål.docx", "A 3006-2025")</f>
        <v/>
      </c>
      <c r="W1059">
        <f>HYPERLINK("https://klasma.github.io/Logging_2081/klagomålsmail/A 3006-2025 FSC-klagomål mail.docx", "A 3006-2025")</f>
        <v/>
      </c>
      <c r="X1059">
        <f>HYPERLINK("https://klasma.github.io/Logging_2081/tillsyn/A 3006-2025 tillsynsbegäran.docx", "A 3006-2025")</f>
        <v/>
      </c>
      <c r="Y1059">
        <f>HYPERLINK("https://klasma.github.io/Logging_2081/tillsynsmail/A 3006-2025 tillsynsbegäran mail.docx", "A 3006-2025")</f>
        <v/>
      </c>
    </row>
    <row r="1060" ht="15" customHeight="1">
      <c r="A1060" t="inlineStr">
        <is>
          <t>A 4357-2025</t>
        </is>
      </c>
      <c r="B1060" s="1" t="n">
        <v>45686</v>
      </c>
      <c r="C1060" s="1" t="n">
        <v>45707</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45707</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45707</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45707</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45707</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45707</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45707</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45707</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45707</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45707</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45707</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45707</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45707</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45707</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45707</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45707</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45707</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45707</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45707</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45707</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45707</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45707</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45707</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45707</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45707</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45707</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45707</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45707</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45707</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45707</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45707</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45707</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45707</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45707</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45707</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45707</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45707</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45707</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45707</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45707</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45707</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45707</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45707</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45707</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45707</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45707</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45707</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45707</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45707</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45707</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45707</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45707</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45707</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45707</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45707</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45707</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45707</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45707</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45707</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45707</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45707</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45707</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45707</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45707</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45707</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45707</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45707</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45707</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45707</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45707</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45707</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45707</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45707</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45707</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45707</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45707</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45707</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45707</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45707</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45707</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45707</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45707</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45707</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45707</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45707</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45707</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45707</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45707</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45707</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45707</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45707</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45707</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45707</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45707</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45707</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45707</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45707</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45707</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45707</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45707</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45707</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45707</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45707</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45707</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45707</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45707</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45707</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45707</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45707</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45707</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45707</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45707</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45707</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45707</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45707</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45707</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45707</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45707</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45707</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45707</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45707</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45707</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45707</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45707</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45707</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45707</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45707</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45707</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45707</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45707</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45707</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45707</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45707</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45707</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45707</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45707</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45707</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45707</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45707</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45707</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45707</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45707</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45707</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45707</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45707</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45707</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45707</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45707</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45707</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45707</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45707</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45707</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45707</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45707</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45707</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45707</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45707</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45707</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45707</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45707</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45707</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45707</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45707</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45707</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45707</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45707</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45707</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45707</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45707</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45707</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45707</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45707</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45707</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45707</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45707</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45707</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45707</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45707</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45707</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45707</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45707</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45707</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45707</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45707</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45707</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45707</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45707</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45707</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45707</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45707</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45707</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45707</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45707</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45707</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45707</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45707</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45707</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45707</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45707</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45707</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45707</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45707</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45707</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45707</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45707</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45707</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45707</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45707</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45707</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45707</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45707</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45707</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45707</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45707</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45707</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45707</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45707</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45707</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45707</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45707</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45707</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45707</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45707</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45707</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45707</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45707</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45707</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45707</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45707</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45707</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45707</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45707</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45707</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45707</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45707</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45707</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45707</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45707</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45707</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45707</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45707</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45707</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45707</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45707</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45707</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45707</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45707</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45707</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45707</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45707</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45707</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45707</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45707</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45707</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45707</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45707</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45707</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45707</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45707</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45707</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45707</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45707</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45707</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45707</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45707</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45707</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45707</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45707</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45707</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45707</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45707</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45707</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45707</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45707</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45707</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45707</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45707</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45707</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45707</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45707</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45707</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45707</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45707</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45707</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45707</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45707</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45707</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45707</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45707</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45707</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45707</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45707</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45707</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45707</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45707</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45707</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45707</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45707</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45707</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45707</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45707</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45707</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45707</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45707</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45707</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45707</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45707</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45707</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45707</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45707</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45707</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45707</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45707</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45707</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45707</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45707</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45707</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45707</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45707</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45707</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45707</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45707</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45707</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45707</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45707</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45707</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45707</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45707</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45707</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45707</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45707</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45707</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45707</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45707</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45707</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45707</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45707</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45707</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45707</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45707</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45707</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45707</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45707</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45707</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45707</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45707</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45707</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45707</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45707</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45707</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45707</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45707</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45707</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45707</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45707</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45707</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45707</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45707</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45707</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45707</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45707</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45707</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45707</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45707</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45707</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45707</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45707</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45707</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45707</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45707</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45707</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45707</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45707</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45707</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45707</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45707</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45707</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45707</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45707</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45707</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45707</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45707</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45707</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45707</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45707</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45707</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45707</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45707</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45707</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45707</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45707</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45707</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45707</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45707</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45707</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45707</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45707</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45707</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45707</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45707</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45707</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45707</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45707</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45707</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45707</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45707</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45707</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45707</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45707</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45707</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45707</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45707</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45707</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45707</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45707</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45707</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45707</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45707</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45707</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45707</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45707</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45707</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45707</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45707</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45707</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45707</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45707</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45707</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45707</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45707</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45707</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45707</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45707</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45707</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45707</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45707</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45707</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45707</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45707</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45707</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45707</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45707</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45707</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45707</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45707</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45707</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45707</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45707</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45707</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45707</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45707</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45707</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45707</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45707</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45707</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45707</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45707</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45707</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45707</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45707</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45707</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45707</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45707</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45707</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45707</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45707</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45707</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45707</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45707</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45707</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45707</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45707</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45707</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45707</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45707</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45707</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45707</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45707</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45707</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45707</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45707</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45707</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45707</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45707</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45707</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45707</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45707</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45707</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45707</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45707</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45707</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45707</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45707</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45707</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45707</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45707</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45707</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45707</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45707</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45707</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45707</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45707</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45707</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45707</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45707</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45707</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45707</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45707</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45707</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45707</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45707</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45707</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45707</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45707</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45707</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45707</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45707</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45707</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45707</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45707</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45707</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45707</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45707</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45707</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45707</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45707</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45707</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45707</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45707</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45707</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45707</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45707</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45707</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45707</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45707</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45707</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45707</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45707</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45707</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45707</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45707</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45707</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45707</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45707</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45707</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45707</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45707</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45707</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45707</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45707</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45707</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45707</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45707</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45707</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45707</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45707</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45707</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45707</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45707</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45707</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45707</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45707</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45707</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45707</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45707</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45707</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45707</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45707</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45707</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45707</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45707</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45707</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45707</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45707</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45707</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45707</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45707</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45707</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45707</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45707</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45707</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45707</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45707</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45707</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45707</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45707</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45707</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45707</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45707</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45707</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45707</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45707</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45707</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45707</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45707</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45707</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45707</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45707</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45707</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45707</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45707</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45707</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45707</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45707</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45707</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45707</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45707</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45707</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45707</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45707</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45707</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45707</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45707</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45707</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45707</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45707</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45707</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45707</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45707</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45707</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45707</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45707</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45707</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45707</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45707</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45707</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45707</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45707</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45707</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45707</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45707</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45707</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45707</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45707</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45707</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45707</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45707</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45707</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45707</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45707</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45707</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45707</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45707</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45707</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45707</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45707</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45707</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45707</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45707</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45707</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45707</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45707</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45707</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45707</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45707</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45707</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45707</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45707</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45707</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45707</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45707</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45707</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45707</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45707</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45707</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45707</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45707</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45707</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45707</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45707</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45707</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45707</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45707</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45707</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45707</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45707</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45707</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45707</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45707</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45707</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45707</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45707</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45707</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45707</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45707</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45707</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45707</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45707</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45707</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45707</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45707</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45707</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45707</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45707</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45707</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45707</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45707</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45707</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45707</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45707</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45707</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45707</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45707</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45707</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45707</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45707</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45707</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45707</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45707</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45707</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45707</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45707</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45707</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45707</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45707</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45707</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45707</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45707</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45707</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45707</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45707</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45707</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45707</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45707</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45707</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45707</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45707</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45707</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45707</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45707</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45707</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45707</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45707</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45707</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45707</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45707</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45707</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45707</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45707</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45707</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45707</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45707</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45707</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45707</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45707</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45707</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45707</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45707</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45707</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45707</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45707</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45707</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45707</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45707</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45707</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45707</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45707</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45707</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45707</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45707</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45707</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45707</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45707</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45707</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45707</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45707</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45707</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45707</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45707</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45707</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45707</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45707</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45707</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45707</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45707</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45707</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45707</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45707</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45707</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45707</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45707</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45707</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45707</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45707</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45707</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45707</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45707</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45707</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45707</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45707</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45707</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45707</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45707</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45707</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45707</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45707</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45707</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45707</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45707</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45707</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45707</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45707</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45707</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45707</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45707</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45707</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45707</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45707</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45707</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45707</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45707</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45707</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45707</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45707</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45707</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45707</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45707</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45707</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45707</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45707</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45707</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45707</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45707</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45707</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45707</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45707</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45707</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45707</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45707</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45707</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45707</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45707</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45707</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45707</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45707</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45707</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45707</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45707</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45707</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45707</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45707</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45707</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45707</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45707</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45707</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45707</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45707</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45707</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45707</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45707</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45707</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45707</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45707</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45707</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45707</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45707</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45707</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45707</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45707</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45707</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45707</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45707</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45707</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45707</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45707</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45707</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45707</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45707</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45707</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45707</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45707</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45707</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45707</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45707</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45707</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45707</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45707</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45707</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45707</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45707</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45707</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45707</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45707</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45707</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45707</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45707</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45707</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45707</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45707</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45707</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45707</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45707</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45707</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45707</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45707</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45707</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45707</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45707</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45707</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45707</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45707</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45707</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45707</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45707</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45707</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45707</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45707</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45707</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45707</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45707</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45707</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45707</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45707</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45707</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45707</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45707</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45707</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45707</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45707</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45707</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45707</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45707</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45707</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45707</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45707</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45707</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45707</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45707</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45707</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45707</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45707</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45707</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45707</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45707</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45707</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45707</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45707</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45707</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45707</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45707</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45707</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45707</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45707</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45707</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45707</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45707</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45707</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45707</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45707</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45707</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45707</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45707</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45707</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45707</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45707</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45707</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45707</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45707</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45707</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45707</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45707</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45707</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45707</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45707</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45707</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45707</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45707</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45707</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45707</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45707</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45707</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45707</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45707</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45707</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45707</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45707</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45707</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45707</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45707</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45707</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45707</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45707</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45707</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45707</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45707</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45707</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45707</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45707</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45707</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45707</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45707</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45707</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45707</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45707</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45707</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45707</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45707</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45707</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45707</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45707</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45707</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45707</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45707</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45707</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45707</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45707</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45707</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45707</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45707</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45707</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45707</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45707</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45707</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45707</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45707</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45707</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45707</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45707</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45707</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45707</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45707</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45707</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45707</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45707</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45707</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45707</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45707</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45707</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45707</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45707</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45707</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45707</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45707</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45707</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45707</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45707</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45707</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45707</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45707</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45707</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45707</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45707</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45707</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45707</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45707</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45707</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45707</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45707</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45707</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45707</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45707</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45707</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45707</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45707</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45707</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45707</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45707</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45707</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45707</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45707</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45707</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45707</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45707</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45707</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45707</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45707</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45707</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45707</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45707</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45707</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45707</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45707</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45707</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45707</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45707</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45707</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45707</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45707</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45707</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45707</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45707</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45707</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45707</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45707</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45707</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45707</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45707</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45707</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45707</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45707</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45707</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45707</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45707</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45707</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45707</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45707</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45707</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45707</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45707</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45707</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45707</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45707</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45707</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45707</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45707</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45707</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45707</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45707</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45707</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45707</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45707</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45707</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45707</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45707</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45707</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45707</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45707</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45707</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45707</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45707</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45707</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45707</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45707</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45707</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45707</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45707</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45707</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45707</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45707</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45707</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45707</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45707</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45707</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45707</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45707</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45707</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45707</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45707</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45707</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45707</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45707</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45707</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45707</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45707</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45707</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45707</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45707</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45707</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45707</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45707</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45707</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45707</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45707</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45707</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45707</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45707</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45707</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45707</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45707</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45707</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45707</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45707</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45707</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45707</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45707</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45707</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45707</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45707</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45707</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45707</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45707</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45707</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45707</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45707</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45707</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45707</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45707</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45707</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45707</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45707</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45707</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45707</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45707</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45707</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45707</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45707</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45707</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45707</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45707</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45707</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45707</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45707</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45707</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45707</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45707</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45707</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45707</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45707</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45707</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45707</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45707</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45707</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45707</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45707</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45707</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45707</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45707</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45707</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45707</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45707</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45707</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45707</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45707</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45707</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45707</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45707</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45707</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45707</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45707</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45707</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45707</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45707</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45707</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45707</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45707</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45707</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45707</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45707</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45707</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45707</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45707</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45707</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45707</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45707</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45707</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45707</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45707</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45707</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45707</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45707</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45707</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45707</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45707</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45707</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45707</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45707</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45707</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45707</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45707</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45707</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45707</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45707</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45707</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45707</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45707</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45707</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45707</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45707</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45707</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45707</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45707</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45707</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45707</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45707</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45707</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45707</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45707</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45707</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45707</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45707</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45707</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45707</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45707</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45707</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45707</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45707</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45707</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45707</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45707</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45707</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45707</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45707</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45707</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45707</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45707</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45707</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45707</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45707</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45707</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45707</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45707</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45707</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45707</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45707</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45707</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45707</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45707</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45707</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45707</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45707</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45707</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45707</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45707</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45707</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45707</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45707</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45707</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45707</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45707</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45707</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45707</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45707</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45707</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45707</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45707</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45707</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45707</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45707</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45707</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45707</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45707</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45707</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45707</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45707</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45707</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45707</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45707</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45707</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45707</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45707</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45707</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45707</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45707</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45707</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45707</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45707</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45707</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45707</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45707</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45707</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45707</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45707</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45707</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45707</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45707</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45707</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45707</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45707</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45707</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45707</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45707</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45707</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45707</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45707</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45707</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45707</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45707</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45707</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45707</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45707</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45707</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45707</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45707</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45707</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45707</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45707</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45707</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45707</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45707</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45707</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45707</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45707</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45707</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45707</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45707</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45707</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45707</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45707</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45707</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45707</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45707</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45707</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45707</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45707</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45707</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45707</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45707</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45707</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45707</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45707</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45707</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45707</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45707</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45707</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45707</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45707</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45707</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45707</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45707</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45707</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45707</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45707</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45707</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45707</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45707</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45707</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45707</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45707</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45707</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45707</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45707</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45707</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45707</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45707</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45707</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45707</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45707</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45707</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45707</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45707</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45707</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45707</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45707</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45707</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45707</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45707</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45707</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45707</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45707</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45707</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45707</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45707</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45707</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45707</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45707</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45707</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45707</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45707</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45707</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45707</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45707</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45707</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45707</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45707</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45707</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45707</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45707</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45707</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45707</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45707</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45707</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45707</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45707</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45707</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45707</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45707</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45707</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45707</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45707</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45707</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45707</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45707</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45707</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45707</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45707</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45707</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45707</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45707</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45707</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45707</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45707</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45707</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45707</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45707</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45707</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45707</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45707</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45707</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45707</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45707</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45707</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45707</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45707</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45707</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45707</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45707</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45707</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45707</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45707</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45707</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45707</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45707</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45707</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45707</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45707</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45707</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45707</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45707</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45707</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45707</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45707</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45707</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45707</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45707</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45707</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45707</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45707</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45707</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45707</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45707</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45707</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45707</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45707</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45707</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45707</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45707</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45707</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45707</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45707</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45707</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45707</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45707</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45707</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45707</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45707</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45707</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45707</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45707</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45707</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45707</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45707</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45707</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45707</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45707</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45707</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45707</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45707</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45707</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45707</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45707</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45707</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45707</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45707</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45707</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45707</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45707</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45707</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45707</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45707</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45707</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45707</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45707</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45707</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45707</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45707</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45707</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45707</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45707</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45707</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45707</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45707</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45707</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45707</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45707</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45707</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45707</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45707</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45707</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45707</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45707</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45707</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45707</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45707</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45707</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45707</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45707</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45707</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45707</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45707</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45707</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45707</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45707</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45707</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45707</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45707</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45707</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45707</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45707</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45707</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45707</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45707</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45707</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45707</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45707</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45707</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45707</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45707</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45707</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45707</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45707</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45707</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45707</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45707</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45707</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45707</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45707</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45707</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45707</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45707</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45707</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45707</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45707</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45707</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45707</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45707</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45707</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45707</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45707</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45707</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45707</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45707</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45707</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45707</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45707</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45707</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45707</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45707</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45707</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45707</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45707</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45707</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45707</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45707</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45707</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45707</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45707</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45707</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45707</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45707</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45707</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45707</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45707</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45707</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45707</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45707</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45707</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45707</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45707</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45707</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45707</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45707</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45707</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45707</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45707</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45707</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45707</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45707</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45707</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45707</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45707</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45707</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45707</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45707</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45707</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45707</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45707</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45707</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45707</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45707</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45707</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45707</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45707</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45707</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45707</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45707</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45707</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45707</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45707</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45707</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45707</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45707</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45707</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45707</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45707</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45707</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45707</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45707</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45707</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45707</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45707</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45707</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45707</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45707</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45707</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45707</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45707</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45707</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45707</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45707</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45707</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45707</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45707</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45707</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45707</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45707</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45707</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45707</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45707</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45707</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45707</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45707</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45707</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45707</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45707</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45707</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45707</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45707</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45707</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45707</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45707</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45707</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45707</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45707</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45707</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45707</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45707</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45707</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45707</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45707</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45707</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45707</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45707</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45707</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45707</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45707</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45707</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45707</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45707</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45707</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45707</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45707</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45707</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45707</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45707</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45707</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45707</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45707</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45707</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45707</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45707</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45707</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45707</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45707</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45707</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45707</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45707</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45707</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45707</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45707</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45707</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45707</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45707</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45707</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45707</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45707</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45707</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45707</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45707</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45707</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45707</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45707</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45707</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45707</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45707</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45707</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45707</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45707</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45707</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45707</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45707</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45707</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45707</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45707</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45707</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45707</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45707</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45707</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45707</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45707</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45707</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45707</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45707</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45707</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45707</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45707</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45707</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45707</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45707</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45707</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45707</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45707</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45707</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45707</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45707</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45707</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45707</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45707</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45707</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45707</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45707</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45707</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45707</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45707</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45707</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45707</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45707</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45707</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45707</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45707</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45707</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45707</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45707</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45707</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45707</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45707</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45707</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45707</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45707</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45707</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45707</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45707</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45707</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45707</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45707</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45707</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45707</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45707</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45707</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45707</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45707</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45707</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45707</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45707</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45707</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45707</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45707</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45707</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45707</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45707</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45707</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45707</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45707</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45707</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45707</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45707</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45707</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45707</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45707</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45707</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45707</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45707</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45707</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45707</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45707</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45707</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45707</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45707</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45707</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45707</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45707</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45707</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45707</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45707</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45707</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45707</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45707</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45707</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45707</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45707</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45707</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45707</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45707</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45707</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45707</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45707</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45707</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45707</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45707</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45707</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45707</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45707</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45707</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45707</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45707</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45707</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45707</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45707</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45707</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45707</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45707</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45707</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45707</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45707</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45707</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45707</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45707</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45707</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45707</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45707</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45707</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45707</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45707</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45707</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45707</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45707</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45707</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45707</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45707</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45707</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45707</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45707</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45707</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45707</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45707</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45707</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45707</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45707</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45707</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45707</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45707</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45707</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45707</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45707</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45707</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45707</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45707</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45707</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45707</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45707</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45707</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45707</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45707</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45707</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45707</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45707</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45707</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45707</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45707</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45707</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45707</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45707</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45707</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45707</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45707</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45707</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45707</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45707</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45707</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45707</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45707</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45707</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45707</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45707</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45707</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45707</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45707</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45707</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45707</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45707</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45707</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45707</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45707</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45707</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45707</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45707</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45707</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45707</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45707</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45707</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45707</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45707</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45707</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45707</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45707</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45707</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45707</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45707</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45707</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45707</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45707</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45707</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45707</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45707</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45707</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45707</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45707</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45707</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45707</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45707</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45707</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45707</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45707</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45707</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45707</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45707</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45707</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45707</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45707</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45707</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45707</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45707</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45707</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45707</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45707</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45707</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45707</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45707</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45707</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45707</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45707</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45707</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45707</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45707</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45707</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45707</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45707</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45707</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45707</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45707</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45707</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45707</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45707</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45707</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45707</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45707</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45707</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45707</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45707</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45707</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45707</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45707</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45707</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45707</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45707</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45707</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45707</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45707</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45707</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45707</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45707</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45707</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45707</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45707</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45707</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45707</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45707</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45707</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45707</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45707</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45707</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45707</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45707</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45707</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45707</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45707</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45707</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45707</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45707</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45707</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45707</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45707</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45707</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45707</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45707</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45707</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45707</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45707</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45707</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45707</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45707</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45707</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45707</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45707</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45707</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45707</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45707</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45707</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45707</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45707</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45707</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45707</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45707</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45707</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45707</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45707</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45707</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45707</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45707</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45707</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45707</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45707</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45707</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45707</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45707</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45707</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45707</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45707</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45707</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45707</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45707</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45707</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45707</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45707</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45707</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45707</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45707</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45707</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45707</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45707</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45707</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45707</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45707</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45707</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45707</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45707</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45707</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45707</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45707</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45707</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45707</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45707</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45707</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45707</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45707</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45707</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45707</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45707</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45707</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45707</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45707</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45707</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45707</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45707</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45707</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45707</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45707</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45707</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45707</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45707</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45707</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45707</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45707</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45707</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45707</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45707</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45707</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45707</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45707</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45707</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45707</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45707</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45707</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45707</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45707</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45707</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45707</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45707</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45707</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45707</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45707</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45707</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45707</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45707</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45707</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45707</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45707</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45707</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45707</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45707</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45707</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45707</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45707</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45707</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45707</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45707</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45707</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45707</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45707</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45707</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45707</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45707</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45707</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45707</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45707</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45707</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45707</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45707</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45707</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45707</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45707</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45707</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45707</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45707</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45707</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45707</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45707</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45707</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45707</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45707</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45707</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45707</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45707</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45707</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45707</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45707</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45707</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45707</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45707</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45707</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45707</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45707</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45707</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45707</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45707</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45707</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45707</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45707</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45707</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45707</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45707</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45707</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45707</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45707</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45707</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45707</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45707</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45707</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45707</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45707</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45707</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45707</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45707</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45707</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45707</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45707</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45707</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45707</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45707</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45707</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45707</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45707</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45707</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45707</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45707</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45707</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45707</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45707</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45707</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45707</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45707</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45707</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45707</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45707</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45707</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45707</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45707</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45707</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45707</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45707</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45707</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45707</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45707</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45707</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45707</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45707</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45707</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45707</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45707</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45707</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45707</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45707</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45707</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45707</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45707</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45707</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45707</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45707</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45707</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45707</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45707</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45707</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45707</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45707</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45707</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45707</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45707</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45707</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45707</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45707</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45707</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45707</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45707</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45707</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45707</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45707</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45707</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45707</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45707</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45707</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45707</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45707</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45707</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45707</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45707</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45707</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45707</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45707</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45707</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45707</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45707</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45707</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45707</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45707</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45707</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45707</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45707</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45707</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45707</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45707</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45707</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45707</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45707</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45707</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45707</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45707</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45707</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45707</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45707</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45707</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45707</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45707</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45707</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45707</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45707</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45707</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45707</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45707</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45707</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45707</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45707</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45707</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45707</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45707</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45707</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45707</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45707</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45707</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45707</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45707</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45707</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45707</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45707</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45707</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45707</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45707</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45707</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45707</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45707</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45707</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45707</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45707</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45707</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45707</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45707</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45707</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45707</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45707</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45707</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45707</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45707</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45707</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45707</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45707</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45707</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45707</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45707</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45707</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45707</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45707</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45707</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45707</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45707</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45707</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45707</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45707</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45707</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45707</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45707</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45707</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45707</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45707</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45707</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45707</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45707</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45707</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45707</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45707</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45707</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45707</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45707</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45707</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45707</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45707</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45707</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45707</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45707</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45707</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45707</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45707</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45707</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45707</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45707</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45707</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45707</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45707</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45707</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45707</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45707</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45707</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45707</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45707</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45707</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45707</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45707</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45707</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45707</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45707</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45707</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45707</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45707</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45707</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45707</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45707</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45707</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45707</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45707</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45707</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45707</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45707</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45707</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45707</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45707</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45707</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45707</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45707</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45707</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45707</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45707</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45707</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45707</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45707</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45707</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45707</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45707</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45707</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45707</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45707</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45707</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45707</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45707</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45707</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45707</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45707</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45707</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45707</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45707</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45707</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45707</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45707</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45707</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45707</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45707</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45707</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45707</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45707</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45707</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45707</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45707</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45707</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45707</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45707</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45707</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45707</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45707</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45707</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45707</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45707</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45707</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45707</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45707</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45707</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45707</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45707</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45707</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45707</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45707</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45707</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45707</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45707</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45707</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45707</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45707</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45707</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45707</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45707</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45707</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45707</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45707</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45707</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45707</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45707</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45707</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45707</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45707</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45707</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45707</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45707</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45707</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45707</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45707</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45707</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45707</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45707</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45707</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45707</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45707</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45707</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45707</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45707</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45707</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45707</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45707</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45707</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45707</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45707</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45707</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45707</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45707</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45707</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45707</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45707</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45707</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45707</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45707</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45707</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45707</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45707</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45707</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45707</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45707</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45707</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45707</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45707</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45707</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45707</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45707</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45707</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45707</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45707</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45707</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45707</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45707</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45707</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45707</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45707</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45707</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45707</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45707</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45707</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45707</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45707</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45707</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45707</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45707</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45707</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45707</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45707</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45707</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45707</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45707</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45707</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45707</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45707</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45707</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45707</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45707</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45707</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45707</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45707</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45707</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45707</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45707</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45707</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45707</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45707</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45707</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45707</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45707</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45707</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45707</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45707</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45707</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45707</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45707</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45707</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45707</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45707</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45707</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45707</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45707</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45707</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45707</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45707</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45707</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45707</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45707</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45707</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45707</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45707</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45707</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45707</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45707</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45707</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45707</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45707</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45707</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45707</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45707</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45707</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45707</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45707</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45707</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45707</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45707</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45707</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45707</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45707</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45707</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45707</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45707</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45707</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45707</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45707</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45707</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45707</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45707</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45707</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45707</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45707</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45707</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45707</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45707</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45707</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45707</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45707</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45707</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45707</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45707</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45707</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45707</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45707</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45707</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45707</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45707</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45707</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45707</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45707</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45707</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45707</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45707</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45707</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45707</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45707</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45707</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45707</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45707</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45707</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45707</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45707</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45707</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45707</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45707</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45707</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45707</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45707</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45707</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45707</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45707</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45707</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45707</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45707</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45707</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45707</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45707</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45707</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45707</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45707</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45707</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45707</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45707</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45707</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45707</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45707</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45707</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45707</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45707</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45707</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45707</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45707</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45707</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45707</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45707</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45707</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45707</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45707</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45707</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45707</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45707</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45707</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45707</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45707</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45707</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45707</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45707</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45707</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45707</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45707</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45707</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45707</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45707</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45707</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45707</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45707</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45707</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45707</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45707</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45707</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45707</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45707</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45707</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45707</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45707</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45707</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45707</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45707</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45707</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45707</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45707</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45707</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45707</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45707</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45707</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45707</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45707</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45707</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45707</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45707</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45707</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45707</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45707</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45707</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45707</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45707</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45707</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45707</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45707</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45707</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45707</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45707</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45707</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45707</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45707</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45707</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45707</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45707</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45707</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45707</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45707</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45707</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45707</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45707</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45707</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45707</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45707</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45707</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45707</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45707</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45707</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45707</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45707</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45707</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45707</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45707</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45707</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45707</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45707</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45707</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45707</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45707</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45707</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45707</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45707</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45707</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45707</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45707</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45707</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45707</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45707</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45707</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45707</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45707</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45707</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45707</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45707</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45707</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45707</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45707</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45707</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45707</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45707</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45707</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45707</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45707</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45707</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45707</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45707</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45707</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45707</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45707</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45707</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45707</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45707</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45707</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45707</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45707</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45707</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45707</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45707</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45707</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45707</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45707</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45707</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45707</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45707</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45707</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45707</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45707</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45707</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45707</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45707</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45707</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45707</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45707</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45707</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45707</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45707</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45707</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45707</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45707</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45707</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45707</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45707</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45707</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45707</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45707</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45707</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45707</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45707</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45707</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45707</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45707</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45707</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45707</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45707</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45707</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45707</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45707</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45707</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45707</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45707</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45707</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45707</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45707</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45707</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45707</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45707</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45707</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45707</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45707</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45707</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45707</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45707</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45707</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45707</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45707</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45707</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45707</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45707</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45707</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45707</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45707</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45707</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45707</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45707</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45707</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45707</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45707</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45707</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45707</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45707</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45707</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45707</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45707</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45707</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45707</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45707</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45707</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45707</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45707</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45707</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45707</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45707</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45707</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45707</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45707</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45707</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45707</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45707</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45707</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45707</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45707</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45707</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45707</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45707</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45707</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45707</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45707</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45707</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45707</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45707</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45707</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45707</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45707</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45707</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45707</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45707</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45707</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45707</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45707</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45707</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45707</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45707</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45707</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45707</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45707</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45707</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45707</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45707</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45707</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45707</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45707</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45707</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45707</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45707</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45707</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45707</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45707</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45707</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45707</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45707</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45707</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45707</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45707</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45707</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45707</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45707</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45707</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45707</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45707</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45707</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45707</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45707</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45707</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45707</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45707</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45707</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45707</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45707</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45707</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45707</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45707</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45707</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45707</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45707</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45707</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45707</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45707</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45707</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45707</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45707</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45707</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45707</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45707</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45707</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45707</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45707</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45707</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45707</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45707</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45707</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45707</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45707</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45707</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45707</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45707</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45707</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45707</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45707</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45707</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45707</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45707</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45707</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45707</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45707</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45707</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45707</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45707</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45707</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45707</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45707</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45707</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45707</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45707</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45707</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45707</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45707</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45707</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45707</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45707</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45707</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45707</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45707</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45707</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45707</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45707</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45707</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45707</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45707</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45707</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45707</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45707</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45707</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45707</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45707</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45707</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45707</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45707</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45707</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45707</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45707</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45707</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45707</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45707</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45707</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45707</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45707</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45707</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45707</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45707</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45707</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45707</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45707</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45707</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45707</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45707</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45707</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45707</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45707</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45707</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45707</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45707</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45707</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45707</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45707</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45707</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45707</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45707</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45707</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45707</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45707</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45707</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45707</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45707</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45707</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45707</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45707</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45707</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45707</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45707</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45707</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45707</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45707</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45707</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45707</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45707</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45707</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45707</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45707</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45707</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45707</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45707</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45707</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45707</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45707</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45707</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45707</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45707</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45707</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45707</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45707</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45707</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45707</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45707</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45707</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45707</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45707</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45707</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45707</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45707</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45707</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45707</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45707</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45707</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45707</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45707</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45707</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45707</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45707</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45707</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45707</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45707</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45707</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45707</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45707</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45707</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45707</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45707</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45707</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45707</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45707</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45707</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45707</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45707</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45707</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45707</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45707</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45707</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45707</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45707</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45707</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45707</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45707</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45707</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45707</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45707</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45707</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45707</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45707</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45707</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45707</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45707</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45707</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45707</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45707</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45707</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45707</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45707</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45707</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45707</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45707</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45707</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45707</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45707</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45707</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45707</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45707</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45707</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45707</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45707</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45707</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45707</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45707</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45707</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45707</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45707</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45707</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45707</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45707</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45707</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45707</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45707</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45707</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45707</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45707</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45707</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45707</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45707</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45707</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45707</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45707</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45707</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45707</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45707</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45707</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45707</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45707</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45707</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45707</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45707</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45707</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45707</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45707</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45707</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45707</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45707</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45707</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45707</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45707</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45707</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45707</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45707</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45707</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45707</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45707</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45707</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45707</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45707</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45707</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45707</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45707</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45707</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45707</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45707</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45707</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45707</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45707</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45707</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45707</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45707</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45707</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45707</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45707</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45707</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45707</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45707</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45707</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45707</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45707</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45707</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45707</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45707</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45707</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45707</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45707</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45707</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45707</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45707</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45707</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45707</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45707</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45707</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45707</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45707</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45707</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45707</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45707</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45707</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45707</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45707</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45707</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45707</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45707</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45707</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45707</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45707</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45707</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45707</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45707</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45707</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45707</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45707</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45707</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45707</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45707</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45707</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45707</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45707</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45707</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45707</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45707</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45707</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45707</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45707</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45707</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45707</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45707</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45707</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45707</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45707</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45707</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45707</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45707</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45707</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45707</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45707</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45707</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45707</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45707</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45707</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45707</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45707</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45707</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45707</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45707</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45707</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45707</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45707</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45707</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45707</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45707</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45707</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45707</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45707</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45707</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45707</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45707</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45707</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45707</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45707</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45707</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45707</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45707</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45707</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45707</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45707</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45707</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45707</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45707</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45707</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45707</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45707</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45707</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45707</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45707</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45707</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45707</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45707</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45707</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45707</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45707</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45707</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45707</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45707</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45707</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45707</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45707</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45707</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45707</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45707</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45707</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45707</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45707</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45707</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45707</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45707</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45707</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45707</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45707</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45707</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45707</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45707</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45707</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45707</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45707</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45707</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45707</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45707</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45707</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45707</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45707</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45707</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45707</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45707</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45707</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45707</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45707</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45707</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45707</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45707</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45707</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45707</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45707</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45707</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45707</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45707</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45707</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45707</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45707</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45707</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45707</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45707</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45707</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45707</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45707</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45707</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45707</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45707</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45707</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45707</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45707</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45707</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45707</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45707</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45707</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45707</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45707</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45707</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45707</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45707</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45707</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45707</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45707</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45707</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45707</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45707</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45707</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45707</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45707</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45707</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45707</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45707</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45707</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45707</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45707</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45707</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45707</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45707</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45707</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45707</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45707</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45707</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45707</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45707</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45707</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45707</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45707</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45707</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45707</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45707</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45707</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45707</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45707</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45707</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45707</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45707</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45707</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45707</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45707</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45707</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45707</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45707</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45707</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45707</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45707</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45707</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45707</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45707</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45707</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45707</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45707</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45707</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45707</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45707</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45707</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45707</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45707</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45707</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45707</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45707</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45707</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45707</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45707</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45707</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45707</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45707</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45707</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45707</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45707</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45707</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45707</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45707</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45707</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45707</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45707</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45707</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45707</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45707</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45707</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45707</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45707</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45707</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45707</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45707</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45707</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45707</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45707</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45707</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45707</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45707</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45707</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45707</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45707</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45707</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45707</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45707</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45707</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45707</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45707</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45707</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45707</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45707</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45707</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45707</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45707</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45707</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45707</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45707</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45707</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45707</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45707</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45707</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45707</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45707</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45707</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45707</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45707</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45707</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45707</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45707</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45707</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45707</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45707</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45707</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45707</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45707</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45707</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45707</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45707</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45707</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45707</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45707</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45707</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45707</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45707</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45707</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45707</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45707</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45707</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45707</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45707</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45707</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45707</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45707</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45707</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45707</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45707</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45707</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45707</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45707</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45707</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45707</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45707</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45707</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45707</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45707</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45707</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45707</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45707</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45707</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45707</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45707</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45707</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45707</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45707</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45707</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45707</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45707</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45707</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45707</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45707</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45707</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45707</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45707</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45707</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45707</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45707</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45707</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45707</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45707</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45707</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45707</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45707</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45707</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45707</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45707</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45707</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45707</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45707</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45707</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45707</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45707</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45707</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45707</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45707</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45707</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45707</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45707</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45707</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45707</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45707</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45707</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45707</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45707</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45707</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45707</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45707</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45707</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45707</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45707</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45707</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45707</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45707</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45707</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45707</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45707</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45707</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45707</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45707</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45707</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45707</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45707</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45707</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45707</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45707</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45707</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45707</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45707</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45707</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45707</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45707</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45707</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45707</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45707</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45707</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45707</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45707</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45707</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45707</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45707</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45707</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45707</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45707</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45707</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45707</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45707</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45707</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45707</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45707</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45707</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45707</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45707</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45707</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45707</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45707</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45707</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45707</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45707</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45707</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45707</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45707</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45707</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45707</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45707</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45707</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45707</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45707</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45707</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45707</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45707</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45707</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45707</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45707</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45707</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45707</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45707</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45707</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45707</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45707</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45707</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45707</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45707</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45707</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45707</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45707</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45707</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45707</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45707</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45707</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45707</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45707</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45707</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45707</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45707</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45707</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45707</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45707</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45707</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45707</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45707</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45707</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45707</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45707</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45707</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45707</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45707</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45707</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45707</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45707</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45707</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45707</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45707</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45707</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45707</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45707</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45707</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45707</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45707</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45707</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45707</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45707</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45707</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45707</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45707</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45707</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45707</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45707</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45707</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45707</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45707</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45707</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45707</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45707</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45707</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45707</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45707</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45707</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45707</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45707</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45707</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45707</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45707</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45707</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45707</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45707</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45707</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45707</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45707</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45707</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45707</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45707</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45707</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45707</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45707</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45707</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45707</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45707</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45707</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45707</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45707</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45707</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45707</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45707</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45707</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45707</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45707</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45707</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45707</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45707</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45707</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45707</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45707</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45707</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45707</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45707</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45707</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45707</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45707</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45707</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45707</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45707</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45707</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45707</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45707</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45707</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45707</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45707</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45707</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45707</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45707</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45707</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45707</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45707</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45707</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45707</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45707</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45707</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45707</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45707</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45707</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45707</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45707</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45707</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45707</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45707</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45707</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45707</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45707</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45707</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45707</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45707</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45707</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45707</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45707</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45707</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45707</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45707</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45707</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45707</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45707</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45707</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45707</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45707</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45707</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45707</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45707</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45707</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45707</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45707</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45707</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45707</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45707</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45707</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45707</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45707</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45707</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45707</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45707</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45707</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45707</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45707</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45707</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45707</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45707</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45707</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45707</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45707</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45707</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45707</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45707</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45707</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45707</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45707</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45707</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45707</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45707</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45707</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45707</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45707</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45707</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45707</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45707</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45707</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45707</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45707</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45707</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45707</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45707</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45707</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45707</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45707</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45707</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45707</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45707</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45707</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45707</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45707</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45707</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45707</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45707</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45707</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45707</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45707</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45707</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45707</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45707</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45707</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45707</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45707</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45707</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45707</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45707</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45707</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45707</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45707</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45707</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45707</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45707</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45707</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45707</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45707</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45707</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45707</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45707</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45707</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45707</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45707</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45707</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45707</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45707</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45707</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45707</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45707</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45707</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45707</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45707</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45707</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45707</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45707</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45707</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45707</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45707</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45707</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45707</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45707</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45707</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45707</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45707</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45707</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45707</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45707</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45707</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45707</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45707</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45707</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45707</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45707</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45707</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45707</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45707</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45707</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45707</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45707</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45707</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45707</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45707</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45707</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45707</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45707</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45707</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45707</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45707</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45707</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45707</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45707</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45707</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45707</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45707</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45707</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45707</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45707</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45707</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45707</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45707</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45707</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45707</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45707</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45707</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45707</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45707</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45707</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45707</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45707</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45707</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45707</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45707</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45707</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45707</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45707</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45707</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45707</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45707</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45707</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45707</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45707</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45707</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45707</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45707</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45707</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45707</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45707</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45707</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45707</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45707</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45707</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45707</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45707</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45707</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45707</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45707</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45707</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45707</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45707</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45707</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45707</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45707</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45707</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45707</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45707</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45707</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45707</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45707</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45707</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45707</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45707</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45707</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45707</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45707</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45707</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45707</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45707</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45707</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45707</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45707</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45707</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45707</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45707</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45707</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45707</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45707</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45707</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45707</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45707</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45707</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45707</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45707</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45707</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45707</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45707</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45707</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45707</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45707</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45707</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45707</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45707</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45707</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45707</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45707</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45707</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45707</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45707</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45707</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45707</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45707</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45707</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45707</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45707</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45707</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45707</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45707</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45707</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45707</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45707</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45707</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45707</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45707</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45707</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45707</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45707</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45707</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45707</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45707</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45707</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45707</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45707</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45707</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45707</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45707</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45707</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45707</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45707</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45707</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45707</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45707</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45707</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45707</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45707</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45707</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45707</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45707</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45707</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45707</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45707</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45707</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45707</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45707</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45707</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45707</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45707</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45707</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45707</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45707</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45707</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45707</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45707</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45707</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45707</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45707</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45707</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45707</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45707</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45707</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45707</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45707</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45707</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45707</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45707</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45707</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45707</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45707</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45707</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45707</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45707</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45707</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45707</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45707</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45707</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45707</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45707</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45707</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45707</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45707</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45707</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45707</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45707</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45707</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45707</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45707</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45707</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45707</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45707</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45707</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45707</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45707</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45707</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45707</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45707</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45707</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45707</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45707</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45707</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45707</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45707</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45707</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45707</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45707</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45707</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45707</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45707</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45707</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45707</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45707</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45707</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45707</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45707</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45707</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45707</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45707</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45707</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45707</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45707</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45707</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45707</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45707</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45707</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45707</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45707</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45707</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45707</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45707</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45707</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45707</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45707</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45707</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45707</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45707</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45707</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45707</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45707</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45707</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45707</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45707</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45707</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45707</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45707</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45707</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45707</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45707</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45707</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45707</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45707</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45707</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45707</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45707</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45707</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45707</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45707</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45707</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45707</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45707</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45707</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45707</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45707</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45707</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45707</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45707</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45707</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45707</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45707</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45707</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45707</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45707</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45707</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45707</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45707</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45707</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45707</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45707</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45707</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45707</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45707</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45707</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45707</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45707</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45707</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45707</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45707</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45707</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45707</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45707</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45707</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45707</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45707</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45707</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45707</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45707</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45707</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45707</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45707</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45707</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45707</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45707</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45707</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45707</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45707</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45707</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45707</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45707</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45707</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45707</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45707</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45707</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45707</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45707</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45707</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45707</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45707</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45707</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45707</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45707</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45707</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45707</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45707</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45707</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45707</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45707</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45707</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45707</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45707</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45707</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45707</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45707</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45707</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45707</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45707</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45707</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45707</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45707</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45707</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45707</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45707</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45707</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45707</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45707</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45707</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45707</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45707</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45707</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45707</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45707</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45707</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45707</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45707</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45707</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45707</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45707</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45707</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45707</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45707</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45707</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45707</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45707</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45707</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45707</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45707</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45707</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45707</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45707</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45707</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45707</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45707</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45707</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45707</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45707</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45707</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45707</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45707</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45707</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45707</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45707</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45707</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45707</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45707</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45707</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45707</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45707</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45707</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45707</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45707</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45707</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45707</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45707</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45707</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45707</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45707</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45707</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45707</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45707</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45707</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45707</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45707</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45707</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45707</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45707</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45707</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45707</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45707</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45707</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45707</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45707</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45707</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45707</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45707</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45707</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45707</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45707</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45707</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45707</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45707</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45707</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45707</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45707</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45707</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45707</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45707</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45707</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45707</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45707</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45707</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45707</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45707</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45707</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45707</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45707</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45707</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45707</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45707</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45707</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45707</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45707</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45707</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45707</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45707</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45707</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45707</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45707</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45707</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45707</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45707</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45707</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45707</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45707</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45707</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45707</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45707</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45707</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45707</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45707</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45707</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45707</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45707</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45707</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45707</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45707</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45707</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45707</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45707</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45707</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45707</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45707</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45707</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45707</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45707</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45707</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45707</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45707</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45707</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45707</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45707</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45707</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45707</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45707</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45707</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45707</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45707</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45707</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45707</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45707</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45707</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45707</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45707</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45707</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45707</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45707</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45707</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45707</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45707</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45707</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45707</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45707</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45707</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45707</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45707</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45707</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45707</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45707</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45707</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45707</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45707</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45707</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45707</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45707</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45707</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45707</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45707</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45707</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45707</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45707</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45707</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45707</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45707</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45707</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45707</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45707</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45707</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45707</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45707</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45707</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45707</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45707</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45707</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45707</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45707</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45707</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45707</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45707</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45707</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45707</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45707</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45707</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45707</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45707</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45707</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45707</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45707</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45707</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45707</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45707</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45707</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45707</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45707</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45707</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45707</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45707</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45707</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45707</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45707</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45707</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45707</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45707</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45707</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45707</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45707</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45707</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45707</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45707</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45707</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45707</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45707</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45707</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45707</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45707</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45707</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45707</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45707</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45707</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45707</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45707</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45707</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45707</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45707</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45707</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45707</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45707</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45707</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45707</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45707</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45707</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45707</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45707</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45707</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45707</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45707</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45707</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45707</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45707</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45707</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45707</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45707</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45707</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45707</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45707</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45707</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45707</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45707</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45707</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45707</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45707</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45707</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45707</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45707</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45707</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45707</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45707</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45707</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45707</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45707</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45707</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45707</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45707</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45707</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45707</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45707</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45707</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45707</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45707</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45707</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45707</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45707</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45707</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45707</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45707</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45707</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45707</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45707</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45707</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45707</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45707</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45707</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45707</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45707</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45707</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45707</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45707</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45707</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45707</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45707</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45707</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45707</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45707</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45707</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45707</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45707</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45707</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45707</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45707</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45707</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45707</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45707</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45707</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45707</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45707</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45707</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45707</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45707</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45707</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45707</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45707</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45707</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45707</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45707</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45707</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45707</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45707</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45707</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45707</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45707</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45707</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45707</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45707</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45707</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45707</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45707</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45707</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45707</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45707</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45707</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45707</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45707</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45707</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45707</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45707</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45707</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45707</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45707</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45707</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45707</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45707</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45707</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45707</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45707</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45707</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45707</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45707</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45707</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45707</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45707</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45707</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45707</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45707</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45707</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45707</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45707</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45707</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45707</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45707</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45707</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45707</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45707</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45707</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45707</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45707</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45707</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45707</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45707</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45707</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45707</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45707</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45707</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45707</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45707</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45707</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45707</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45707</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45707</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45707</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45707</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45707</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45707</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45707</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45707</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45707</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45707</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45707</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45707</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45707</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45707</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45707</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45707</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45707</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45707</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45707</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45707</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45707</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45707</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45707</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45707</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45707</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45707</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45707</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45707</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45707</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45707</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45707</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45707</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45707</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45707</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45707</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45707</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45707</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45707</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45707</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45707</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45707</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45707</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45707</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45707</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45707</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45707</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45707</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45707</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45707</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45707</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45707</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45707</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45707</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45707</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45707</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45707</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45707</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45707</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45707</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45707</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45707</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45707</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45707</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45707</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45707</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45707</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45707</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45707</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45707</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45707</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45707</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45707</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45707</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45707</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45707</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45707</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45707</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45707</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45707</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45707</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45707</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45707</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45707</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45707</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45707</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45707</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45707</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45707</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45707</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45707</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45707</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45707</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45707</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45707</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45707</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45707</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45707</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45707</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45707</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45707</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45707</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45707</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45707</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45707</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45707</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45707</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45707</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45707</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45707</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45707</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45707</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45707</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45707</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45707</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45707</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45707</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45707</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45707</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45707</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45707</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45707</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45707</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45707</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45707</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45707</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45707</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45707</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45707</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45707</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45707</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45707</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45707</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45707</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45707</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45707</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45707</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45707</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45707</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45707</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45707</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45707</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45707</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45707</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45707</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45707</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45707</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45707</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45707</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45707</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45707</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45707</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45707</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45707</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45707</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45707</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45707</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45707</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45707</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45707</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45707</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45707</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45707</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45707</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45707</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45707</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45707</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45707</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45707</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45707</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45707</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45707</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45707</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45707</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45707</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45707</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45707</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45707</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45707</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45707</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45707</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45707</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45707</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45707</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45707</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45707</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45707</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45707</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45707</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45707</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45707</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45707</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45707</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45707</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45707</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45707</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45707</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45707</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45707</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45707</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45707</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45707</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45707</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45707</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45707</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45707</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45707</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45707</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45707</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45707</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45707</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45707</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45707</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45707</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45707</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45707</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45707</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45707</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45707</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45707</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45707</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45707</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45707</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45707</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45707</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45707</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45707</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45707</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45707</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45707</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45707</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45707</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45707</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45707</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45707</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45707</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45707</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45707</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45707</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45707</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45707</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45707</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45707</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45707</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45707</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45707</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45707</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45707</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45707</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45707</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45707</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45707</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45707</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45707</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45707</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45707</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45707</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45707</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45707</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45707</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45707</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45707</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45707</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45707</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45707</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45707</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45707</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45707</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45707</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45707</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45707</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45707</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45707</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45707</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45707</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45707</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45707</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45707</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45707</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45707</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45707</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45707</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45707</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45707</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45707</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45707</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45707</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45707</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45707</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45707</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45707</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45707</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45707</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45707</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45707</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45707</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45707</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45707</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45707</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45707</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45707</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45707</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45707</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45707</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45707</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45707</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45707</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45707</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45707</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45707</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45707</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45707</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45707</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45707</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45707</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45707</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45707</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45707</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45707</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45707</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45707</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45707</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45707</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45707</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45707</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45707</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45707</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45707</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45707</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45707</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45707</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45707</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45707</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45707</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45707</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45707</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45707</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45707</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45707</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45707</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45707</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45707</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45707</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45707</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45707</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45707</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45707</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45707</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45707</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45707</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45707</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45707</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45707</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45707</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45707</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45707</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45707</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45707</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45707</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45707</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45707</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45707</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45707</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45707</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45707</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45707</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45707</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45707</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45707</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45707</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45707</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45707</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45707</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45707</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45707</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45707</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45707</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45707</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45707</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45707</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45707</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45707</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45707</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45707</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45707</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45707</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45707</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45707</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45707</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45707</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45707</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45707</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45707</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45707</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45707</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45707</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45707</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45707</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45707</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45707</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45707</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45707</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45707</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45707</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45707</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45707</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45707</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45707</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45707</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45707</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45707</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45707</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45707</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45707</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45707</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45707</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45707</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45707</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45707</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45707</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45707</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45707</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45707</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45707</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45707</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45707</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45707</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45707</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45707</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45707</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45707</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45707</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45707</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45707</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45707</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45707</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45707</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45707</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45707</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45707</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45707</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45707</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45707</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45707</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45707</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45707</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45707</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45707</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45707</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45707</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45707</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45707</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45707</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45707</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45707</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45707</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45707</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45707</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45707</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45707</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45707</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45707</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45707</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45707</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45707</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45707</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45707</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45707</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45707</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45707</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45707</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45707</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45707</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45707</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45707</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45707</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45707</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45707</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45707</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45707</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45707</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45707</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45707</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45707</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45707</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45707</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45707</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45707</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45707</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45707</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45707</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45707</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45707</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45707</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45707</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45707</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45707</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45707</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45707</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45707</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45707</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45707</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45707</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45707</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45707</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45707</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45707</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45707</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45707</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45707</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45707</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45707</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45707</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45707</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45707</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45707</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45707</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45707</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45707</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45707</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45707</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45707</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45707</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45707</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45707</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45707</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45707</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45707</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45707</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45707</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45707</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45707</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45707</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45707</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45707</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45707</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45707</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45707</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45707</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45707</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45707</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45707</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45707</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45707</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45707</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45707</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45707</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45707</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45707</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45707</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45707</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45707</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45707</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45707</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45707</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45707</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45707</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45707</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45707</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45707</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45707</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45707</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45707</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45707</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45707</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45707</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45707</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45707</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45707</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45707</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45707</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45707</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45707</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45707</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45707</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45707</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45707</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45707</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45707</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45707</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45707</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45707</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45707</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45707</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45707</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45707</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45707</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45707</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45707</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45707</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45707</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45707</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45707</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45707</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45707</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45707</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45707</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45707</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45707</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45707</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45707</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45707</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45707</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45707</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45707</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45707</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45707</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45707</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45707</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45707</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45707</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45707</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45707</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45707</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45707</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45707</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45707</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45707</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45707</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45707</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45707</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45707</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45707</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45707</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45707</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45707</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45707</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45707</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45707</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45707</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45707</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45707</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45707</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45707</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45707</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45707</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45707</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45707</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45707</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45707</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45707</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45707</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45707</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45707</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45707</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45707</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45707</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45707</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45707</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45707</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45707</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45707</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45707</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45707</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45707</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45707</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45707</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45707</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45707</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45707</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45707</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45707</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45707</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45707</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45707</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45707</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45707</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45707</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45707</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45707</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45707</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45707</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45707</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45707</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45707</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45707</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45707</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45707</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45707</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45707</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45707</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45707</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45707</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45707</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45707</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45707</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45707</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45707</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45707</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45707</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45707</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45707</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45707</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45707</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45707</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45707</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45707</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45707</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45707</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45707</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45707</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45707</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45707</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45707</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45707</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45707</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45707</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45707</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45707</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45707</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45707</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45707</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45707</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45707</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45707</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45707</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45707</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45707</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45707</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45707</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45707</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45707</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45707</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45707</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45707</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45707</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45707</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45707</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45707</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45707</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45707</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45707</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45707</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45707</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45707</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45707</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45707</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45707</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45707</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45707</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45707</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45707</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45707</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45707</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45707</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45707</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45707</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45707</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45707</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45707</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45707</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45707</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45707</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45707</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45707</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45707</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45707</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45707</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45707</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45707</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45707</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45707</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45707</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45707</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45707</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45707</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45707</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45707</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45707</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45707</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45707</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45707</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45707</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45707</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45707</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45707</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45707</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45707</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45707</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45707</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45707</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45707</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45707</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45707</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45707</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45707</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45707</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45707</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45707</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45707</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45707</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45707</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45707</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45707</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45707</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45707</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45707</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45707</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45707</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45707</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45707</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45707</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45707</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45707</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45707</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45707</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45707</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45707</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45707</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45707</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45707</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45707</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45707</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45707</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45707</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45707</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45707</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45707</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45707</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45707</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45707</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45707</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45707</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45707</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45707</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45707</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45707</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45707</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45707</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45707</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45707</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45707</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45707</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45707</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45707</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45707</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45707</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45707</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45707</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45707</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45707</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45707</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45707</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45707</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45707</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45707</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45707</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45707</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45707</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45707</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45707</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45707</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45707</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45707</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45707</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45707</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45707</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45707</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45707</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45707</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45707</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45707</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45707</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45707</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45707</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45707</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45707</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45707</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45707</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45707</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45707</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45707</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45707</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45707</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45707</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45707</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45707</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45707</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45707</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45707</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45707</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45707</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45707</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45707</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45707</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45707</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45707</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45707</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45707</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45707</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45707</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45707</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45707</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45707</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45707</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45707</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45707</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45707</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45707</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45707</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45707</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45707</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45707</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45707</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45707</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45707</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45707</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45707</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45707</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45707</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45707</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45707</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45707</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45707</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45707</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45707</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45707</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45707</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45707</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45707</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45707</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45707</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45707</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45707</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45707</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45707</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45707</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45707</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45707</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45707</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45707</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45707</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45707</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45707</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45707</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45707</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45707</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45707</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45707</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45707</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45707</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45707</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45707</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45707</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45707</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45707</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45707</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45707</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45707</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45707</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45707</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45707</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45707</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45707</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45707</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45707</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45707</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45707</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45707</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45707</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45707</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45707</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45707</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45707</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45707</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45707</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45707</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45707</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45707</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45707</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45707</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45707</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45707</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45707</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45707</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45707</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45707</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45707</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45707</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45707</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45707</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45707</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45707</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45707</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45707</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45707</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45707</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45707</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45707</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45707</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45707</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45707</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45707</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45707</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45707</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45707</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45707</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45707</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45707</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45707</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45707</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45707</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45707</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45707</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45707</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45707</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45707</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45707</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45707</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45707</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45707</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45707</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45707</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45707</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45707</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45707</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45707</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45707</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45707</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45707</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45707</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45707</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45707</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45707</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45707</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45707</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45707</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45707</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45707</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45707</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45707</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45707</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45707</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45707</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45707</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45707</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45707</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45707</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45707</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45707</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45707</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45707</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45707</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45707</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45707</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45707</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45707</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45707</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45707</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45707</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45707</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45707</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45707</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45707</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45707</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45707</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45707</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45707</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45707</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45707</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45707</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45707</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45707</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45707</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45707</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45707</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45707</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45707</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45707</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45707</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45707</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45707</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45707</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45707</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45707</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45707</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45707</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45707</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45707</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45707</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45707</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45707</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45707</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45707</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45707</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45707</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45707</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45707</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45707</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45707</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45707</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45707</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45707</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45707</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45707</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45707</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45707</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45707</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45707</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45707</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45707</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45707</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45707</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45707</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45707</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45707</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45707</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45707</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45707</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45707</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45707</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45707</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45707</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45707</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45707</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45707</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45707</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45707</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45707</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45707</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45707</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45707</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45707</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45707</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45707</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45707</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45707</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45707</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45707</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45707</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45707</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45707</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45707</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45707</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45707</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45707</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45707</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45707</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45707</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45707</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45707</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45707</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45707</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45707</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45707</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45707</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45707</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45707</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45707</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45707</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45707</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45707</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45707</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45707</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45707</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45707</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45707</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45707</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45707</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45707</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45707</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45707</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45707</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45707</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45707</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45707</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45707</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45707</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45707</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45707</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45707</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45707</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45707</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45707</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45707</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45707</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45707</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45707</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45707</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45707</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45707</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45707</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45707</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45707</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45707</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45707</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45707</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45707</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45707</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45707</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45707</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45707</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45707</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45707</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45707</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45707</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45707</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45707</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45707</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45707</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45707</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45707</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45707</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45707</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45707</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45707</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45707</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45707</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45707</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45707</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45707</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45707</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45707</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45707</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45707</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45707</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45707</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45707</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45707</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45707</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45707</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45707</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45707</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45707</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45707</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45707</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45707</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45707</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45707</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45707</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45707</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45707</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45707</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45707</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45707</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45707</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45707</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45707</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45707</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45707</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45707</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45707</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45707</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45707</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45707</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45707</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45707</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45707</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45707</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45707</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45707</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45707</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45707</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45707</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45707</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45707</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45707</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45707</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45707</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45707</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45707</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45707</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45707</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45707</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45707</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45707</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45707</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45707</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45707</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45707</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45707</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45707</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45707</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45707</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45707</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45707</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45707</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45707</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45707</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45707</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45707</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45707</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45707</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45707</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45707</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45707</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45707</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45707</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45707</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45707</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45707</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45707</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45707</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45707</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45707</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45707</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45707</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45707</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45707</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45707</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45707</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45707</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45707</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45707</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45707</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45707</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45707</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45707</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45707</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45707</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45707</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45707</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45707</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45707</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45707</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45707</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45707</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45707</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45707</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45707</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45707</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45707</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45707</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45707</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45707</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45707</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45707</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45707</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45707</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45707</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45707</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45707</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45707</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45707</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45707</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45707</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45707</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45707</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45707</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45707</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45707</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45707</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45707</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45707</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45707</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45707</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45707</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45707</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45707</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45707</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45707</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45707</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45707</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45707</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45707</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45707</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45707</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45707</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45707</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45707</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45707</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45707</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45707</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45707</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45707</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45707</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45707</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45707</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45707</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45707</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45707</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45707</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45707</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45707</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45707</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45707</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45707</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45707</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45707</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45707</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45707</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45707</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45707</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45707</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45707</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45707</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45707</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45707</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45707</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45707</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45707</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45707</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45707</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45707</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45707</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45707</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45707</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45707</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45707</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45707</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45707</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45707</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45707</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45707</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45707</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45707</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45707</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45707</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45707</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45707</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45707</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45707</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45707</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45707</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45707</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45707</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45707</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45707</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45707</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45707</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45707</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45707</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45707</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45707</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45707</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45707</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45707</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45707</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45707</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45707</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45707</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45707</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45707</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45707</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45707</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45707</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45707</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45707</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45707</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45707</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45707</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45707</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45707</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45707</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45707</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45707</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45707</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45707</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45707</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45707</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45707</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45707</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45707</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45707</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45707</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45707</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45707</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45707</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45707</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45707</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45707</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45707</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45707</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45707</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45707</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45707</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45707</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45707</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45707</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45707</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45707</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45707</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45707</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45707</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45707</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45707</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45707</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45707</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45707</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45707</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45707</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45707</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45707</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45707</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45707</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45707</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45707</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45707</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45707</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45707</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45707</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45707</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45707</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45707</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45707</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45707</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45707</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45707</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45707</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45707</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45707</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45707</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45707</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45707</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45707</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45707</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45707</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45707</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45707</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45707</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45707</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45707</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45707</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45707</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45707</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45707</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45707</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45707</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45707</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45707</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45707</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45707</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45707</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45707</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45707</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45707</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45707</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45707</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45707</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45707</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45707</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45707</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45707</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45707</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45707</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45707</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45707</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45707</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45707</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45707</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45707</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45707</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45707</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45707</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45707</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45707</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45707</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45707</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45707</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45707</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45707</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45707</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45707</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45707</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45707</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45707</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45707</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45707</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45707</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45707</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45707</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45707</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45707</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45707</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45707</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45707</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45707</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45707</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45707</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45707</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45707</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45707</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45707</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45707</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45707</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45707</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45707</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45707</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45707</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45707</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45707</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45707</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45707</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45707</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45707</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45707</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45707</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45707</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45707</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45707</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45707</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45707</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45707</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45707</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45707</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45707</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45707</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45707</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45707</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45707</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45707</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45707</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45707</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45707</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45707</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45707</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45707</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45707</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45707</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45707</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45707</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45707</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45707</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45707</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45707</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45707</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45707</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45707</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45707</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45707</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45707</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45707</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45707</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45707</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45707</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45707</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45707</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45707</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45707</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45707</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45707</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45707</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45707</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45707</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45707</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45707</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45707</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45707</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45707</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45707</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45707</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45707</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45707</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45707</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45707</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45707</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45707</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45707</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45707</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45707</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45707</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45707</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45707</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45707</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45707</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45707</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45707</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45707</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45707</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45707</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45707</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45707</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45707</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45707</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45707</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45707</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45707</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45707</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45707</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45707</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45707</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45707</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45707</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45707</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45707</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45707</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45707</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45707</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45707</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45707</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45707</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45707</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45707</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45707</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45707</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45707</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45707</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45707</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45707</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45707</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45707</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45707</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45707</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45707</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45707</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45707</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45707</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45707</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45707</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45707</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45707</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45707</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45707</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45707</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45707</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45707</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45707</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45707</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45707</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45707</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45707</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45707</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45707</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45707</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45707</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45707</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45707</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45707</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45707</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45707</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45707</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45707</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45707</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45707</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45707</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45707</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45707</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45707</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45707</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45707</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45707</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45707</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45707</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45707</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45707</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45707</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45707</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45707</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45707</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45707</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45707</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45707</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45707</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45707</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45707</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45707</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45707</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45707</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45707</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45707</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45707</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45707</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45707</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45707</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45707</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45707</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45707</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45707</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45707</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45707</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45707</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45707</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45707</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45707</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45707</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45707</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45707</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45707</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45707</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45707</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45707</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45707</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45707</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45707</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45707</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45707</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45707</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45707</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45707</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45707</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45707</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45707</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45707</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45707</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45707</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45707</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45707</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45707</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45707</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45707</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45707</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45707</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45707</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45707</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45707</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45707</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45707</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45707</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45707</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45707</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45707</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45707</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45707</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45707</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45707</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45707</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45707</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45707</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45707</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45707</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45707</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45707</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45707</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45707</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45707</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45707</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45707</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45707</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45707</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45707</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45707</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45707</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45707</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45707</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45707</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45707</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45707</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45707</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45707</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45707</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45707</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45707</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45707</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45707</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45707</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45707</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45707</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45707</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45707</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45707</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45707</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45707</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45707</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45707</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45707</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45707</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45707</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45707</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45707</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45707</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45707</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45707</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45707</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45707</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45707</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45707</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45707</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45707</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45707</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45707</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45707</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45707</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45707</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45707</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45707</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45707</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45707</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45707</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45707</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45707</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45707</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45707</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45707</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45707</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45707</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45707</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45707</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45707</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45707</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45707</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45707</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45707</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45707</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45707</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45707</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45707</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45707</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45707</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45707</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45707</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45707</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45707</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45707</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45707</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45707</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45707</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45707</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45707</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45707</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45707</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45707</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45707</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45707</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45707</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45707</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45707</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45707</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45707</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45707</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45707</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45707</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45707</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45707</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45707</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45707</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45707</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45707</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45707</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45707</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45707</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45707</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45707</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45707</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45707</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45707</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45707</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45707</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45707</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45707</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45707</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45707</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45707</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45707</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45707</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45707</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45707</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45707</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45707</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45707</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45707</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45707</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45707</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45707</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45707</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45707</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45707</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45707</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45707</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45707</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45707</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45707</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45707</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45707</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45707</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45707</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45707</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45707</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45707</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45707</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45707</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45707</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45707</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45707</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45707</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45707</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45707</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45707</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45707</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45707</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45707</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45707</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45707</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45707</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45707</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45707</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45707</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45707</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45707</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45707</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45707</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45707</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45707</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45707</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45707</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45707</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45707</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45707</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45707</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45707</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45707</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45707</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45707</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45707</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45707</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45707</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45707</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45707</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45707</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45707</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45707</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45707</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45707</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45707</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45707</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45707</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45707</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45707</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45707</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45707</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45707</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45707</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45707</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45707</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45707</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45707</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45707</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45707</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45707</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45707</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45707</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45707</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45707</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45707</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45707</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45707</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45707</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45707</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45707</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45707</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45707</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45707</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45707</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45707</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45707</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45707</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45707</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45707</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45707</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45707</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45707</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45707</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45707</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45707</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45707</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45707</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45707</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45707</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45707</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45707</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45707</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45707</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45707</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45707</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45707</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45707</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45707</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45707</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45707</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45707</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45707</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45707</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45707</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45707</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45707</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45707</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45707</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45707</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45707</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45707</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45707</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45707</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45707</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45707</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45707</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45707</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45707</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45707</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45707</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45707</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45707</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45707</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45707</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45707</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45707</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45707</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45707</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45707</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45707</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45707</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45707</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45707</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45707</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45707</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45707</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45707</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45707</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45707</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45707</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45707</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45707</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45707</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45707</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45707</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45707</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45707</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45707</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45707</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45707</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45707</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45707</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45707</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45707</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45707</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45707</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45707</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45707</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45707</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45707</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45707</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45707</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45707</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45707</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45707</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45707</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45707</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45707</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45707</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45707</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45707</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45707</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45707</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45707</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45707</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45707</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45707</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45707</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45707</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45707</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45707</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45707</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45707</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45707</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45707</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45707</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45707</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45707</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45707</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45707</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45707</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45707</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45707</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45707</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45707</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45707</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45707</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45707</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45707</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45707</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45707</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45707</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45707</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45707</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45707</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45707</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45707</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45707</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45707</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45707</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45707</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45707</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45707</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45707</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45707</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45707</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45707</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45707</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45707</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45707</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45707</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45707</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45707</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45707</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45707</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45707</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45707</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45707</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45707</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45707</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45707</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45707</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45707</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45707</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45707</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45707</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45707</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45707</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45707</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45707</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45707</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45707</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45707</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45707</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45707</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45707</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45707</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45707</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45707</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45707</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45707</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45707</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45707</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45707</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45707</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45707</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45707</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45707</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45707</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45707</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45707</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45707</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45707</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45707</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45707</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45707</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45707</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45707</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45707</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45707</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45707</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45707</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45707</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45707</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45707</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45707</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45707</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45707</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45707</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45707</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45707</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45707</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45707</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45707</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45707</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45707</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45707</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45707</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45707</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45707</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45707</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45707</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45707</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45707</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45707</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45707</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45707</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45707</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45707</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45707</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45707</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45707</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45707</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45707</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45707</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45707</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45707</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45707</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45707</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45707</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45707</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45707</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45707</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45707</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45707</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45707</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45707</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45707</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45707</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45707</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45707</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45707</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45707</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45707</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45707</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45707</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45707</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45707</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45707</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45707</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45707</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45707</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45707</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45707</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45707</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45707</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45707</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45707</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45707</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45707</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45707</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45707</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45707</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45707</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45707</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45707</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45707</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45707</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45707</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45707</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45707</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45707</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45707</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45707</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45707</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45707</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45707</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45707</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45707</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45707</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45707</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45707</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45707</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45707</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45707</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45707</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45707</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45707</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45707</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45707</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45707</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45707</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45707</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45707</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45707</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45707</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45707</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45707</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45707</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45707</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45707</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45707</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45707</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45707</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45707</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45707</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45707</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45707</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45707</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45707</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45707</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45707</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45707</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45707</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45707</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45707</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45707</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45707</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45707</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45707</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45707</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45707</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45707</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45707</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45707</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45707</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45707</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45707</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45707</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45707</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45707</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45707</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45707</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45707</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45707</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45707</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45707</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45707</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45707</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45707</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45707</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45707</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45707</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45707</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45707</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45707</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45707</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45707</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45707</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45707</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45707</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45707</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45707</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45707</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45707</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45707</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45707</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45707</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45707</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45707</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45707</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45707</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45707</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45707</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45707</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45707</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45707</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45707</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45707</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45707</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45707</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45707</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45707</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45707</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45707</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45707</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45707</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45707</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45707</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45707</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45707</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45707</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45707</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45707</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45707</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45707</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45707</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45707</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45707</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45707</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45707</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45707</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45707</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45707</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45707</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45707</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45707</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45707</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45707</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45707</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45707</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45707</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45707</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45707</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45707</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45707</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45707</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45707</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45707</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45707</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45707</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45707</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45707</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45707</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45707</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45707</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45707</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45707</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45707</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45707</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45707</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45707</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45707</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45707</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45707</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45707</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45707</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45707</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45707</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45707</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45707</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45707</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45707</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45707</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45707</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45707</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45707</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45707</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45707</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45707</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45707</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45707</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45707</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45707</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45707</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45707</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45707</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45707</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45707</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45707</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45707</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45707</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45707</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45707</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45707</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45707</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45707</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45707</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45707</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45707</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45707</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45707</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45707</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45707</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45707</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45707</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45707</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45707</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45707</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45707</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45707</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45707</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45707</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45707</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45707</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45707</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45707</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45707</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45707</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45707</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45707</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45707</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45707</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45707</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45707</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45707</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45707</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45707</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45707</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45707</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45707</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45707</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45707</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45707</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45707</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45707</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45707</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45707</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45707</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45707</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45707</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45707</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45707</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45707</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45707</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45707</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45707</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45707</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45707</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45707</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45707</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45707</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45707</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45707</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45707</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45707</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45707</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45707</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45707</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45707</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45707</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45707</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45707</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45707</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45707</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45707</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45707</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45707</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45707</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45707</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45707</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45707</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45707</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45707</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45707</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45707</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45707</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45707</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45707</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45707</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45707</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45707</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45707</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45707</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45707</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45707</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45707</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45707</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45707</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45707</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45707</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45707</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45707</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45707</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45707</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45707</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45707</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45707</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45707</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45707</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45707</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45707</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45707</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45707</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45707</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45707</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45707</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45707</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45707</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45707</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45707</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45707</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45707</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45707</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45707</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45707</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45707</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45707</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45707</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45707</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45707</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45707</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45707</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45707</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45707</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45707</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45707</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45707</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45707</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45707</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45707</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45707</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45707</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45707</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45707</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45707</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45707</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45707</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45707</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45707</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45707</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45707</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45707</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45707</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45707</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45707</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45707</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45707</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45707</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45707</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45707</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45707</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45707</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45707</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45707</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45707</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45707</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45707</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45707</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45707</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45707</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45707</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45707</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45707</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45707</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45707</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45707</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45707</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45707</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45707</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45707</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45707</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45707</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45707</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45707</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45707</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45707</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45707</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45707</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45707</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45707</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45707</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45707</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45707</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45707</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45707</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45707</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45707</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45707</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45707</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45707</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45707</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45707</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45707</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45707</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45707</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45707</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45707</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45707</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45707</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45707</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45707</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45707</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45707</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45707</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45707</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45707</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45707</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45707</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45707</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45707</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45707</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45707</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45707</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45707</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45707</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45707</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45707</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45707</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45707</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45707</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45707</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45707</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45707</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45707</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45707</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45707</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45707</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45707</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45707</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45707</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45707</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45707</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45707</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45707</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45707</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45707</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45707</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45707</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45707</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45707</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45707</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45707</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45707</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45707</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45707</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45707</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45707</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45707</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45707</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45707</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45707</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45707</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45707</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45707</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45707</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45707</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45707</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45707</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45707</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45707</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45707</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45707</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45707</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45707</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45707</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45707</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45707</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45707</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45707</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45707</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45707</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45707</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45707</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45707</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45707</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45707</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45707</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45707</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45707</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45707</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45707</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45707</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45707</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45707</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45707</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45707</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45707</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45707</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45707</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45707</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45707</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45707</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45707</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45707</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45707</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45707</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45707</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45707</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45707</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45707</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45707</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45707</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45707</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45707</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45707</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45707</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45707</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45707</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45707</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45707</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45707</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45707</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45707</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45707</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45707</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45707</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45707</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45707</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45707</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45707</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45707</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45707</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45707</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45707</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45707</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45707</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45707</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45707</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45707</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45707</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45707</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45707</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45707</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45707</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45707</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45707</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45707</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45707</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45707</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45707</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45707</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45707</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45707</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45707</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45707</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45707</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45707</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45707</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45707</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45707</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45707</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45707</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45707</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45707</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45707</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45707</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45707</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45707</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45707</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45707</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45707</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45707</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45707</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45707</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45707</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45707</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45707</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45707</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45707</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45707</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45707</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45707</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45707</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45707</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45707</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45707</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45707</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45707</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45707</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45707</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45707</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45707</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45707</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45707</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45707</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45707</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45707</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45707</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45707</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45707</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45707</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45707</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45707</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45707</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45707</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45707</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45707</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45707</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45707</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45707</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45707</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45707</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45707</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45707</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45707</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45707</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45707</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45707</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45707</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45707</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45707</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45707</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45707</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45707</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45707</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45707</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45707</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45707</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45707</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45707</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45707</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45707</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45707</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45707</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45707</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45707</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45707</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45707</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45707</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45707</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45707</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45707</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45707</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45707</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45707</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45707</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45707</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45707</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45707</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45707</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45707</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45707</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45707</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45707</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45707</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45707</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45707</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45707</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45707</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45707</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45707</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45707</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45707</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45707</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45707</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45707</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45707</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45707</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45707</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45707</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45707</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45707</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45707</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45707</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45707</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45707</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45707</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45707</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45707</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45707</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45707</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45707</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45707</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45707</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45707</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45707</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45707</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45707</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45707</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45707</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45707</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45707</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45707</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45707</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45707</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45707</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45707</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45707</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45707</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45707</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45707</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45707</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45707</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45707</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45707</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45707</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45707</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45707</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45707</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45707</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45707</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45707</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45707</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45707</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45707</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45707</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45707</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45707</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45707</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45707</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45707</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45707</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45707</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45707</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45707</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45707</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45707</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45707</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45707</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45707</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45707</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45707</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45707</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45707</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45707</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45707</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45707</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45707</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45707</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45707</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45707</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45707</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45707</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45707</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45707</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45707</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45707</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45707</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45707</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45707</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45707</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45707</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45707</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45707</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45707</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45707</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45707</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45707</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45707</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45707</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45707</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45707</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45707</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45707</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45707</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45707</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45707</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45707</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45707</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45707</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45707</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45707</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45707</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45707</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45707</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45707</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45707</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45707</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45707</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45707</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45707</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45707</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45707</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45707</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45707</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45707</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45707</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45707</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45707</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45707</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45707</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45707</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45707</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45707</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45707</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45707</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45707</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45707</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45707</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45707</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45707</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45707</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45707</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45707</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45707</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45707</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45707</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45707</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45707</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45707</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45707</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45707</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45707</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45707</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45707</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45707</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45707</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45707</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45707</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45707</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45707</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45707</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45707</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45707</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45707</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45707</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45707</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45707</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45707</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45707</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45707</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45707</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45707</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45707</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45707</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45707</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45707</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45707</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45707</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45707</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45707</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45707</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45707</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45707</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45707</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45707</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45707</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45707</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45707</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45707</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45707</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45707</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45707</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45707</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45707</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45707</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45707</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45707</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45707</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45707</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45707</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45707</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45707</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45707</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45707</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45707</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45707</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45707</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45707</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45707</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45707</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45707</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45707</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45707</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45707</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45707</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45707</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45707</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45707</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45707</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45707</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45707</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45707</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45707</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45707</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45707</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45707</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45707</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45707</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45707</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45707</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45707</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45707</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45707</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45707</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45707</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45707</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45707</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45707</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45707</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45707</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45707</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45707</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45707</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45707</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45707</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45707</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45707</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45707</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45707</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45707</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45707</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45707</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45707</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45707</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45707</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45707</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45707</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45707</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45707</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45707</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45707</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45707</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45707</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45707</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45707</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45707</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45707</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45707</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45707</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45707</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45707</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45707</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45707</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45707</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45707</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45707</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45707</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45707</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45707</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45707</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45707</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45707</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45707</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45707</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45707</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45707</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45707</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45707</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45707</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45707</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45707</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45707</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45707</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45707</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45707</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45707</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45707</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45707</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45707</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45707</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45707</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45707</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45707</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45707</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45707</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45707</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45707</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45707</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45707</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45707</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45707</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45707</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45707</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45707</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45707</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45707</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45707</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45707</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45707</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45707</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45707</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45707</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45707</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45707</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45707</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45707</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45707</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45707</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45707</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45707</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45707</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45707</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45707</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45707</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45707</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45707</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45707</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45707</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45707</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45707</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45707</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45707</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45707</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45707</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45707</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45707</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45707</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45707</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45707</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45707</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45707</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45707</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45707</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45707</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45707</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45707</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45707</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45707</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45707</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45707</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45707</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45707</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45707</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45707</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45707</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45707</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45707</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45707</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45707</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45707</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45707</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45707</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45707</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45707</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45707</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45707</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45707</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45707</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45707</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45707</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45707</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45707</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45707</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45707</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45707</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45707</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45707</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45707</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45707</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45707</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45707</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45707</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45707</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45707</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45707</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45707</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45707</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45707</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45707</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45707</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45707</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45707</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45707</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45707</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45707</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45707</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45707</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45707</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45707</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45707</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45707</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45707</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45707</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45707</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45707</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45707</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45707</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45707</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45707</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45707</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45707</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45707</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45707</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45707</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45707</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45707</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45707</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45707</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45707</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45707</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45707</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45707</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45707</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45707</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45707</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45707</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45707</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45707</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45707</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45707</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45707</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45707</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45707</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45707</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45707</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45707</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45707</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45707</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45707</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45707</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45707</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45707</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45707</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45707</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45707</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45707</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45707</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45707</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45707</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45707</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45707</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45707</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45707</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45707</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45707</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45707</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45707</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45707</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45707</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45707</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45707</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45707</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45707</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45707</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45707</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45707</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45707</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45707</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45707</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45707</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45707</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45707</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45707</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45707</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45707</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45707</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45707</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45707</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45707</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45707</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45707</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45707</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45707</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45707</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45707</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45707</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45707</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45707</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45707</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45707</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45707</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45707</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45707</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45707</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45707</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45707</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45707</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45707</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45707</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45707</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45707</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45707</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45707</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45707</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45707</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45707</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45707</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45707</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45707</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45707</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45707</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45707</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45707</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45707</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45707</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45707</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45707</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45707</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45707</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45707</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45707</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45707</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45707</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45707</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45707</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45707</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45707</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45707</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45707</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45707</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45707</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45707</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45707</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45707</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45707</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45707</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45707</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45707</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45707</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45707</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45707</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45707</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45707</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45707</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45707</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45707</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45707</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45707</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45707</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45707</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45707</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45707</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45707</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45707</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45707</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45707</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45707</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45707</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45707</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45707</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45707</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45707</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45707</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45707</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45707</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45707</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45707</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45707</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45707</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45707</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45707</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45707</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45707</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45707</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45707</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45707</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45707</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45707</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45707</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45707</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45707</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45707</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45707</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45707</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45707</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45707</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45707</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45707</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45707</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45707</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45707</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45707</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45707</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45707</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45707</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45707</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45707</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45707</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45707</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45707</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45707</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45707</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45707</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45707</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45707</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45707</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45707</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45707</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45707</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45707</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45707</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45707</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45707</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45707</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45707</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45707</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45707</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45707</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45707</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45707</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45707</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45707</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45707</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45707</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45707</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45707</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45707</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45707</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45707</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45707</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45707</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45707</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45707</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45707</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45707</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45707</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45707</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45707</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45707</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45707</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45707</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45707</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45707</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45707</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45707</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45707</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45707</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45707</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45707</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45707</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45707</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45707</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45707</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45707</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45707</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45707</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45707</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45707</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45707</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45707</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45707</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45707</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45707</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45707</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45707</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45707</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45707</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45707</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45707</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45707</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45707</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45707</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45707</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45707</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45707</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45707</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45707</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45707</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45707</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45707</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45707</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45707</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45707</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45707</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45707</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45707</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45707</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45707</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45707</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45707</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45707</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45707</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45707</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45707</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45707</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45707</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45707</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45707</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45707</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45707</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45707</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45707</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45707</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45707</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45707</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45707</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45707</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45707</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45707</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45707</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45707</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45707</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45707</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45707</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45707</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45707</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45707</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45707</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45707</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45707</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45707</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45707</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45707</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45707</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45707</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45707</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45707</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45707</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45707</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45707</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45707</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45707</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45707</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45707</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45707</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45707</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45707</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45707</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45707</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45707</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45707</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45707</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45707</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45707</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45707</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45707</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45707</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45707</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45707</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45707</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45707</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45707</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45707</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45707</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45707</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45707</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45707</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45707</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45707</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45707</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45707</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45707</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45707</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45707</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45707</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45707</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45707</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45707</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45707</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45707</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45707</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45707</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45707</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45707</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45707</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45707</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45707</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45707</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45707</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45707</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45707</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45707</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45707</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45707</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45707</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45707</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45707</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45707</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45707</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45707</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45707</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45707</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45707</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45707</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45707</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45707</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45707</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45707</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45707</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45707</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45707</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45707</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45707</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45707</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45707</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45707</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45707</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45707</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45707</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45707</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45707</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45707</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45707</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45707</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45707</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45707</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45707</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45707</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45707</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45707</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45707</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45707</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45707</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45707</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45707</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45707</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45707</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45707</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45707</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45707</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45707</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45707</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45707</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45707</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45707</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45707</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45707</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45707</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45707</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45707</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45707</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45707</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45707</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45707</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45707</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45707</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45707</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45707</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45707</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45707</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45707</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45707</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45707</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45707</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45707</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45707</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45707</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45707</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45707</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45707</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45707</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45707</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45707</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45707</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45707</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45707</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45707</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45707</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45707</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45707</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45707</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45707</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45707</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45707</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45707</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45707</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45707</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45707</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45707</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45707</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45707</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45707</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45707</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45707</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45707</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45707</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45707</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45707</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45707</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45707</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45707</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45707</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45707</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45707</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45707</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45707</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45707</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45707</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45707</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45707</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45707</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45707</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45707</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45707</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45707</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45707</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45707</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45707</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45707</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45707</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45707</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45707</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45707</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45707</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45707</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45707</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45707</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45707</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45707</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45707</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45707</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45707</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45707</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45707</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45707</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45707</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45707</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45707</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45707</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45707</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45707</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45707</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45707</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45707</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45707</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45707</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45707</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45707</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45707</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45707</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45707</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45707</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45707</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45707</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45707</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45707</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45707</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45707</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45707</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45707</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45707</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45707</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45707</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45707</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45707</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45707</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45707</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45707</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45707</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45707</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45707</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45707</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45707</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45707</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45707</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45707</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45707</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45707</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45707</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45707</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45707</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45707</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45707</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45707</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45707</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45707</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45707</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45707</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45707</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45707</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45707</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45707</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45707</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45707</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45707</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45707</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45707</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45707</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45707</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45707</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45707</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45707</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45707</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45707</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45707</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45707</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45707</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45707</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45707</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45707</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45707</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45707</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45707</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45707</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45707</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45707</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45707</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45707</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45707</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45707</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45707</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45707</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45707</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45707</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45707</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45707</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45707</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45707</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45707</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45707</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45707</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45707</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45707</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45707</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45707</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45707</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45707</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45707</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45707</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45707</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45707</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45707</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45707</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45707</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45707</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45707</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45707</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45707</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45707</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45707</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45707</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45707</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45707</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45707</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45707</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45707</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45707</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45707</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45707</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45707</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45707</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45707</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45707</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45707</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45707</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45707</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45707</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45707</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45707</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45707</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45707</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45707</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45707</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45707</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45707</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45707</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45707</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45707</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45707</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45707</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45707</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45707</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45707</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45707</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45707</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45707</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45707</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45707</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45707</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45707</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45707</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45707</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45707</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45707</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45707</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45707</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45707</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45707</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45707</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45707</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45707</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45707</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45707</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45707</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45707</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45707</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45707</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45707</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45707</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45707</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45707</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45707</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45707</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45707</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45707</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45707</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45707</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45707</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45707</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45707</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45707</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45707</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45707</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45707</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45707</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45707</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45707</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45707</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45707</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45707</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45707</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45707</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45707</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45707</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45707</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45707</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45707</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45707</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45707</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45707</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45707</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45707</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45707</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45707</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45707</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45707</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45707</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45707</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45707</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45707</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45707</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45707</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45707</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45707</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45707</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45707</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45707</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45707</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45707</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45707</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45707</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45707</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45707</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45707</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45707</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45707</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45707</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45707</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45707</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45707</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45707</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45707</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45707</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45707</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45707</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45707</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45707</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45707</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45707</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45707</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45707</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45707</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45707</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45707</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45707</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45707</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45707</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45707</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45707</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45707</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45707</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45707</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45707</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45707</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45707</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45707</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45707</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45707</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45707</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45707</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45707</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45707</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45707</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45707</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45707</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45707</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45707</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45707</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45707</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45707</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45707</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45707</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45707</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45707</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45707</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45707</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45707</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45707</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45707</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45707</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45707</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45707</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45707</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45707</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45707</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45707</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45707</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45707</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45707</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45707</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45707</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45707</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45707</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45707</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45707</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45707</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45707</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45707</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45707</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45707</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45707</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45707</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45707</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45707</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45707</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45707</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45707</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45707</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45707</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45707</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45707</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45707</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45707</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45707</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45707</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45707</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45707</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45707</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45707</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45707</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45707</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45707</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45707</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45707</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45707</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45707</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45707</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45707</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45707</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45707</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45707</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45707</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45707</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45707</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45707</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45707</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45707</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45707</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45707</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45707</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45707</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45707</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45707</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45707</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45707</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45707</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45707</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45707</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45707</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45707</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45707</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45707</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45707</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45707</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45707</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45707</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45707</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45707</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45707</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45707</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45707</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45707</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45707</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45707</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45707</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45707</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45707</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45707</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45707</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45707</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45707</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45707</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45707</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45707</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45707</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45707</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45707</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45707</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45707</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45707</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45707</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45707</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45707</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45707</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45707</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45707</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45707</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45707</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45707</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45707</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45707</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45707</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45707</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45707</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45707</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45707</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45707</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45707</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45707</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45707</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45707</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45707</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45707</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45707</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45707</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45707</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45707</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45707</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45707</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45707</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45707</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45707</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45707</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45707</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45707</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45707</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45707</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45707</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45707</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45707</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45707</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45707</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45707</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45707</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45707</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45707</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45707</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45707</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45707</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45707</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45707</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45707</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45707</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45707</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45707</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45707</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45707</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45707</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45707</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45707</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45707</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45707</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45707</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45707</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45707</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45707</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45707</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45707</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45707</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45707</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45707</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45707</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45707</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45707</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45707</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45707</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45707</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45707</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45707</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45707</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45707</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45707</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45707</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45707</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45707</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45707</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45707</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45707</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45707</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45707</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45707</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45707</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45707</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45707</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45707</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45707</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45707</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45707</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45707</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45707</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45707</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45707</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45707</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45707</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45707</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45707</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45707</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45707</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45707</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45707</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45707</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45707</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45707</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45707</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45707</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45707</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45707</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45707</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45707</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45707</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45707</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45707</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45707</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45707</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45707</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45707</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45707</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45707</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45707</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45707</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45707</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45707</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45707</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45707</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45707</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45707</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45707</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45707</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45707</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45707</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45707</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45707</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45707</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45707</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45707</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45707</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45707</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45707</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45707</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45707</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45707</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45707</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45707</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45707</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45707</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45707</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45707</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45707</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45707</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45707</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45707</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45707</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45707</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45707</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45707</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45707</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45707</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45707</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45707</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45707</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45707</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45707</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45707</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45707</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45707</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45707</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45707</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45707</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45707</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45707</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45707</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45707</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45707</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45707</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45707</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45707</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45707</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45707</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45707</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45707</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45707</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45707</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45707</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45707</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45707</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45707</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45707</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45707</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45707</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45707</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45707</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45707</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45707</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45707</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45707</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45707</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45707</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45707</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45707</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45707</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45707</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45707</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45707</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45707</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45707</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45707</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45707</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45707</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45707</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45707</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45707</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45707</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45707</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45707</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45707</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45707</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45707</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45707</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45707</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45707</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45707</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45707</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45707</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45707</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45707</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45707</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45707</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45707</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45707</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45707</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45707</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45707</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45707</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45707</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45707</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45707</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45707</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45707</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45707</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45707</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45707</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45707</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45707</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45707</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45707</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45707</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45707</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45707</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45707</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45707</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45707</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45707</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45707</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45707</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45707</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45707</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45707</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45707</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45707</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45707</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45707</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45707</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45707</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45707</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45707</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45707</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45707</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45707</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45707</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45707</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45707</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45707</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45707</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45707</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45707</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45707</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45707</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45707</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45707</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45707</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45707</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45707</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45707</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45707</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45707</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45707</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45707</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45707</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45707</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45707</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45707</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45707</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45707</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45707</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45707</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45707</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45707</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45707</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45707</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45707</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45707</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45707</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45707</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45707</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45707</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45707</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45707</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45707</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45707</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45707</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45707</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45707</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45707</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45707</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45707</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45707</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45707</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45707</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45707</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45707</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45707</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45707</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45707</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45707</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45707</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45707</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45707</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45707</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45707</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45707</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45707</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45707</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45707</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45707</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45707</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45707</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45707</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45707</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45707</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45707</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45707</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45707</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45707</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45707</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45707</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45707</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45707</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45707</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45707</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45707</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45707</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45707</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45707</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45707</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45707</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45707</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45707</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45707</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45707</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45707</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45707</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45707</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45707</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45707</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45707</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45707</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45707</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45707</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45707</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45707</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45707</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45707</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45707</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45707</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45707</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45707</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45707</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45707</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45707</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45707</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45707</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45707</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45707</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45707</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45707</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45707</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45707</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45707</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45707</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45707</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45707</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45707</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45707</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45707</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45707</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45707</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45707</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45707</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45707</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45707</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45707</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45707</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45707</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45707</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45707</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45707</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45707</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45707</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45707</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45707</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45707</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45707</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45707</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45707</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45707</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45707</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45707</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45707</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45707</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45707</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45707</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45707</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45707</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45707</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45707</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45707</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45707</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45707</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45707</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45707</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45707</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45707</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45707</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45707</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45707</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45707</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45707</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45707</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45707</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45707</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45707</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45707</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45707</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45707</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45707</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45707</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45707</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45707</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45707</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45707</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45707</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45707</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45707</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45707</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45707</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45707</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45707</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45707</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45707</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45707</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45707</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45707</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45707</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45707</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45707</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45707</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45707</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45707</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45707</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45707</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45707</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45707</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45707</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45707</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45707</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45707</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45707</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45707</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45707</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45707</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45707</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45707</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45707</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45707</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45707</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45707</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45707</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45707</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45707</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45707</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45707</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45707</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45707</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45707</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45707</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45707</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45707</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45707</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45707</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45707</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45707</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45707</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45707</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45707</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45707</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45707</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45707</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45707</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45707</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45707</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45707</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45707</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45707</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45707</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45707</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45707</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45707</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45707</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45707</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45707</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45707</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45707</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45707</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45707</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45707</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45707</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45707</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45707</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45707</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45707</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45707</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45707</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45707</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45707</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45707</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45707</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45707</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45707</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45707</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45707</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45707</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45707</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45707</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45707</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45707</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45707</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45707</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45707</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45707</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45707</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45707</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45707</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45707</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45707</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45707</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45707</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45707</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45707</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45707</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45707</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45707</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45707</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45707</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45707</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45707</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45707</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45707</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45707</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45707</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45707</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45707</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45707</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45707</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45707</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45707</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45707</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45707</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45707</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45707</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45707</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45707</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45707</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45707</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45707</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45707</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45707</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45707</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45707</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45707</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45707</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45707</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45707</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45707</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45707</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45707</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45707</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45707</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45707</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45707</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45707</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45707</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45707</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45707</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45707</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45707</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45707</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45707</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45707</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45707</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45707</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45707</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45707</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45707</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45707</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45707</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45707</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45707</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45707</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45707</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45707</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45707</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45707</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45707</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45707</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45707</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45707</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45707</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45707</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45707</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45707</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45707</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45707</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45707</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45707</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45707</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45707</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45707</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45707</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45707</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45707</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45707</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45707</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45707</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45707</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45707</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45707</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45707</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45707</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45707</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45707</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45707</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45707</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45707</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45707</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45707</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45707</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45707</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45707</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45707</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45707</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45707</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45707</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45707</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45707</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45707</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45707</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45707</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45707</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45707</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45707</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45707</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45707</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45707</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45707</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45707</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45707</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45707</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45707</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45707</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45707</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45707</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45707</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45707</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45707</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45707</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45707</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45707</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45707</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45707</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45707</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45707</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45707</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45707</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45707</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45707</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45707</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45707</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45707</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45707</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45707</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45707</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45707</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45707</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45707</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45707</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45707</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45707</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45707</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45707</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45707</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45707</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45707</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45707</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45707</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45707</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45707</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45707</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45707</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45707</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45707</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45707</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45707</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45707</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45707</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45707</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45707</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45707</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45707</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45707</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45707</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45707</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45707</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45707</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45707</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45707</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45707</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45707</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45707</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45707</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45707</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45707</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45707</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45707</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45707</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45707</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45707</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45707</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45707</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45707</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45707</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45707</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45707</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45707</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45707</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45707</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45707</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45707</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45707</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45707</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45707</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45707</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45707</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45707</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45707</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45707</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45707</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45707</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45707</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45707</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45707</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45707</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45707</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45707</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45707</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45707</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45707</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45707</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45707</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45707</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45707</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45707</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45707</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45707</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45707</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45707</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45707</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45707</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45707</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45707</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45707</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45707</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45707</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45707</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45707</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45707</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45707</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45707</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45707</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45707</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45707</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45707</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45707</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45707</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45707</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45707</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45707</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45707</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45707</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45707</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45707</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45707</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45707</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45707</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45707</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45707</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45707</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45707</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45707</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45707</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45707</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45707</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45707</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45707</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45707</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45707</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45707</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45707</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45707</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45707</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45707</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45707</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45707</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45707</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45707</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45707</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45707</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45707</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45707</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45707</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45707</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45707</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45707</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45707</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45707</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45707</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45707</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45707</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45707</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45707</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45707</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45707</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45707</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45707</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45707</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45707</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45707</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45707</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45707</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45707</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45707</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45707</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45707</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45707</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45707</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45707</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45707</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45707</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45707</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45707</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45707</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45707</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45707</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45707</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45707</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45707</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45707</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45707</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45707</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45707</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45707</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45707</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45707</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45707</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45707</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45707</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45707</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45707</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45707</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45707</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45707</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45707</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45707</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45707</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45707</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45707</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45707</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45707</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45707</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45707</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45707</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45707</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45707</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45707</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45707</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45707</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45707</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45707</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45707</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45707</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45707</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45707</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45707</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45707</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45707</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45707</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45707</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45707</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45707</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45707</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45707</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45707</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45707</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45707</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45707</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45707</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45707</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45707</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45707</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45707</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45707</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45707</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45707</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45707</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45707</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45707</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45707</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45707</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45707</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45707</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45707</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45707</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45707</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45707</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45707</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45707</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45707</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45707</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45707</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45707</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45707</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45707</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45707</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45707</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45707</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45707</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45707</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45707</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45707</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45707</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45707</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45707</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45707</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45707</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45707</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45707</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45707</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45707</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45707</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45707</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45707</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45707</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45707</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45707</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45707</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45707</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45707</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45707</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45707</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45707</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45707</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45707</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45707</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45707</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45707</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45707</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45707</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45707</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45707</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45707</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45707</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45707</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45707</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45707</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45707</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45707</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45707</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45707</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45707</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45707</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45707</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45707</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45707</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45707</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45707</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45707</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45707</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45707</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45707</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45707</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45707</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45707</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45707</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45707</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45707</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45707</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45707</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45707</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45707</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45707</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45707</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45707</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45707</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45707</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45707</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45707</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45707</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45707</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45707</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45707</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45707</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45707</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45707</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45707</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45707</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45707</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45707</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45707</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45707</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45707</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45707</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45707</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45707</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45707</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45707</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45707</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45707</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45707</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45707</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45707</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45707</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45707</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45707</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45707</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45707</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45707</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45707</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45707</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45707</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45707</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45707</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45707</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45707</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45707</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45707</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45707</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45707</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45707</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45707</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45707</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45707</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45707</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45707</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45707</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45707</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45707</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45707</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45707</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45707</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45707</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45707</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45707</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45707</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45707</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45707</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45707</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45707</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45707</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45707</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45707</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45707</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45707</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45707</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45707</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45707</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45707</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45707</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45707</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45707</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45707</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45707</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45707</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45707</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45707</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45707</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45707</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45707</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45707</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45707</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45707</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45707</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45707</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45707</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45707</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45707</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45707</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45707</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45707</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45707</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45707</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45707</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45707</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45707</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45707</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45707</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45707</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45707</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45707</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45707</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45707</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45707</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45707</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45707</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45707</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45707</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45707</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45707</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45707</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45707</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45707</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45707</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45707</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45707</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45707</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45707</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45707</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45707</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45707</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45707</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45707</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45707</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45707</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45707</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45707</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45707</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45707</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45707</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45707</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45707</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45707</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45707</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45707</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45707</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45707</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45707</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45707</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45707</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45707</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45707</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45707</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45707</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45707</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45707</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45707</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45707</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45707</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45707</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45707</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45707</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45707</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45707</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45707</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45707</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45707</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45707</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45707</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45707</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45707</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45707</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45707</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45707</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45707</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45707</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45707</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45707</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45707</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45707</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45707</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45707</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45707</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45707</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45707</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45707</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45707</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45707</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45707</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45707</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45707</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45707</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45707</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45707</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45707</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45707</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45707</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45707</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45707</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45707</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45707</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45707</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45707</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45707</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45707</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45707</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45707</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45707</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45707</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45707</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45707</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45707</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45707</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45707</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45707</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45707</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45707</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45707</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45707</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45707</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45707</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45707</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45707</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45707</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45707</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45707</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45707</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45707</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45707</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45707</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45707</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45707</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45707</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45707</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45707</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45707</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45707</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45707</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45707</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45707</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45707</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45707</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45707</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45707</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45707</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45707</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45707</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45707</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45707</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45707</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45707</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45707</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45707</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45707</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45707</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45707</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45707</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45707</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45707</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45707</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45707</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45707</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45707</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45707</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45707</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45707</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45707</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45707</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45707</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45707</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45707</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45707</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45707</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45707</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45707</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45707</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45707</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45707</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45707</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45707</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45707</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45707</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45707</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45707</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45707</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45707</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45707</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45707</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45707</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45707</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45707</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45707</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45707</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45707</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45707</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45707</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45707</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45707</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45707</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45707</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45707</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45707</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45707</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45707</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45707</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45707</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45707</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45707</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45707</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45707</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45707</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45707</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45707</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45707</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45707</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45707</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45707</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45707</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45707</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45707</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45707</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45707</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45707</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45707</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45707</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45707</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45707</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45707</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45707</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45707</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45707</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45707</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45707</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45707</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45707</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45707</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45707</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45707</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45707</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45707</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45707</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45707</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45707</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45707</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45707</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45707</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45707</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45707</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45707</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45707</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45707</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45707</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45707</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45707</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45707</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45707</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45707</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45707</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45707</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45707</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45707</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45707</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45707</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45707</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45707</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45707</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45707</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45707</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45707</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45707</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45707</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45707</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45707</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45707</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45707</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45707</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45707</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45707</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45707</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45707</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45707</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45707</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45707</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45707</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45707</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45707</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45707</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45707</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45707</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45707</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45707</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45707</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45707</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45707</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45707</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45707</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45707</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45707</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45707</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45707</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45707</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45707</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45707</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45707</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45707</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45707</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45707</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45707</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45707</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45707</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45707</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45707</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45707</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45707</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45707</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45707</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45707</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45707</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45707</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45707</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45707</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45707</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45707</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45707</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45707</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45707</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45707</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45707</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45707</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45707</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45707</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45707</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45707</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45707</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45707</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45707</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45707</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45707</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45707</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45707</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45707</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45707</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45707</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45707</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45707</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45707</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45707</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45707</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45707</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45707</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45707</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45707</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45707</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45707</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45707</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45707</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45707</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45707</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45707</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45707</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45707</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45707</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45707</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45707</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45707</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45707</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45707</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45707</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45707</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45707</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45707</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45707</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45707</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45707</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45707</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45707</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45707</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45707</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45707</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45707</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45707</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45707</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45707</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45707</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45707</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45707</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45707</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45707</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45707</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45707</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45707</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45707</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45707</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45707</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45707</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45707</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45707</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45707</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45707</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45707</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45707</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45707</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45707</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45707</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45707</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45707</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45707</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45707</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45707</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45707</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45707</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45707</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45707</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45707</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45707</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45707</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45707</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45707</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45707</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45707</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45707</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45707</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45707</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45707</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45707</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45707</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45707</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45707</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45707</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45707</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45707</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45707</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45707</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45707</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45707</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45707</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45707</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45707</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45707</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45707</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45707</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45707</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45707</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45707</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45707</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45707</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45707</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45707</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45707</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45707</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45707</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45707</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45707</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45707</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45707</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45707</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45707</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45707</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45707</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45707</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45707</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45707</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45707</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45707</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45707</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45707</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45707</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45707</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45707</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45707</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45707</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45707</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45707</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45707</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45707</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45707</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45707</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45707</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45707</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45707</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45707</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45707</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45707</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45707</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45707</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45707</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45707</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45707</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45707</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45707</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45707</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45707</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45707</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45707</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45707</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45707</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45707</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45707</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45707</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45707</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45707</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45707</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45707</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45707</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45707</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45707</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45707</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45707</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45707</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45707</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45707</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45707</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45707</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45707</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45707</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45707</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45707</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45707</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45707</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45707</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45707</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45707</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45707</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45707</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45707</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45707</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45707</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45707</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45707</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45707</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45707</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45707</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45707</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45707</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45707</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45707</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45707</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45707</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45707</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45707</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45707</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45707</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45707</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45707</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45707</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45707</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45707</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45707</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45707</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45707</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45707</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45707</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45707</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45707</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45707</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45707</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45707</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45707</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45707</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45707</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45707</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45707</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45707</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45707</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45707</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45707</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45707</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45707</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45707</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45707</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45707</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45707</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45707</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45707</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45707</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45707</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45707</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45707</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45707</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45707</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45707</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45707</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45707</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45707</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45707</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45707</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45707</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45707</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45707</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45707</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45707</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45707</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45707</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45707</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45707</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45707</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45707</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45707</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45707</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45707</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45707</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45707</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45707</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45707</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45707</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45707</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45707</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45707</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45707</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45707</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45707</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45707</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45707</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45707</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45707</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45707</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45707</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45707</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45707</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45707</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45707</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45707</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45707</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45707</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45707</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45707</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45707</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45707</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45707</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45707</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45707</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45707</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45707</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45707</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45707</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45707</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45707</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45707</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45707</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45707</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45707</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45707</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45707</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45707</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45707</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45707</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45707</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45707</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45707</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45707</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45707</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45707</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45707</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45707</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45707</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45707</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45707</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45707</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45707</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45707</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45707</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45707</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45707</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45707</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45707</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45707</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45707</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45707</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45707</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45707</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45707</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45707</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45707</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45707</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45707</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45707</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45707</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45707</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45707</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45707</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45707</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45707</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45707</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45707</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45707</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45707</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45707</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45707</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45707</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45707</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45707</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45707</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45707</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45707</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45707</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45707</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45707</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45707</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45707</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45707</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45707</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45707</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45707</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45707</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45707</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45707</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45707</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45707</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45707</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45707</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45707</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45707</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45707</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45707</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45707</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45707</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45707</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45707</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45707</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45707</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45707</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45707</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45707</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45707</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45707</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45707</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45707</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45707</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45707</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45707</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45707</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45707</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45707</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45707</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45707</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45707</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45707</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45707</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45707</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45707</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45707</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45707</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45707</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45707</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45707</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45707</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45707</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45707</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45707</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45707</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45707</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45707</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45707</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45707</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45707</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45707</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45707</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45707</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45707</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45707</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45707</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45707</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45707</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45707</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45707</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45707</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45707</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45707</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45707</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45707</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45707</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45707</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45707</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45707</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45707</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45707</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45707</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45707</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45707</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45707</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45707</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45707</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45707</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45707</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45707</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45707</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45707</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45707</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45707</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45707</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45707</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45707</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45707</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45707</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45707</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45707</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45707</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45707</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45707</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45707</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45707</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45707</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45707</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45707</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45707</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45707</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45707</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45707</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45707</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45707</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45707</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45707</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45707</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45707</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45707</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45707</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45707</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45707</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45707</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45707</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45707</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45707</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45707</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45707</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45707</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45707</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45707</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45707</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45707</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45707</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45707</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45707</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45707</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45707</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45707</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45707</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45707</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45707</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45707</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45707</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45707</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45707</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45707</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45707</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45707</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45707</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45707</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45707</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45707</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45707</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45707</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45707</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45707</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45707</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45707</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45707</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45707</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45707</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45707</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45707</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45707</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45707</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45707</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45707</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45707</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45707</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45707</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45707</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45707</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45707</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45707</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45707</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45707</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45707</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45707</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45707</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45707</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45707</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45707</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45707</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45707</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45707</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45707</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45707</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45707</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45707</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45707</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45707</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45707</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45707</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45707</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45707</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45707</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45707</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45707</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45707</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45707</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45707</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45707</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45707</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45707</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45707</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45707</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45707</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45707</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45707</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45707</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45707</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45707</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45707</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45707</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45707</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45707</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45707</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45707</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45707</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45707</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45707</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45707</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45707</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45707</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45707</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45707</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45707</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45707</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45707</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45707</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45707</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45707</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45707</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45707</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45707</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45707</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45707</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45707</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45707</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45707</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45707</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45707</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45707</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45707</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45707</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45707</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45707</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45707</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45707</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45707</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45707</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45707</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45707</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45707</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45707</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45707</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45707</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45707</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45707</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45707</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45707</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45707</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45707</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45707</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45707</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45707</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45707</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45707</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45707</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45707</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45707</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45707</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45707</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45707</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45707</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45707</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45707</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45707</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45707</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45707</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45707</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45707</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45707</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45707</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45707</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45707</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45707</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45707</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45707</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45707</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45707</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45707</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45707</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45707</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45707</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45707</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45707</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45707</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45707</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45707</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45707</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45707</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45707</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45707</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45707</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45707</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45707</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45707</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45707</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45707</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45707</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45707</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45707</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45707</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45707</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45707</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45707</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45707</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45707</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45707</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45707</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45707</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45707</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45707</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45707</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45707</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45707</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45707</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45707</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45707</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45707</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45707</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45707</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45707</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45707</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45707</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45707</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45707</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45707</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45707</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45707</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45707</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45707</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45707</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45707</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45707</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45707</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45707</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45707</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45707</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45707</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45707</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45707</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45707</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45707</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45707</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45707</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45707</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45707</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45707</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45707</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45707</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45707</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45707</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45707</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45707</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45707</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45707</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45707</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45707</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45707</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45707</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45707</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45707</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45707</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45707</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45707</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45707</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45707</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45707</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45707</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45707</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45707</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45707</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45707</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45707</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45707</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45707</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45707</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45707</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45707</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45707</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45707</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45707</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45707</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45707</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45707</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45707</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45707</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45707</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45707</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45707</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45707</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45707</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45707</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45707</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45707</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45707</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45707</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45707</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45707</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45707</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45707</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45707</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45707</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45707</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45707</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45707</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45707</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45707</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45707</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45707</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45707</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45707</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45707</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45707</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45707</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45707</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45707</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45707</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45707</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45707</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45707</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45707</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45707</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45707</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45707</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45707</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45707</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45707</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45707</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45707</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45707</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45707</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45707</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45707</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45707</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45707</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45707</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45707</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45707</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45707</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45707</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45707</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45707</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45707</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45707</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45707</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45707</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45707</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45707</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45707</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45707</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45707</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45707</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45707</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45707</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45707</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45707</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45707</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45707</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45707</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45707</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45707</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45707</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45707</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45707</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45707</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45707</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45707</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45707</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45707</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45707</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45707</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45707</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45707</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45707</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45707</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45707</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45707</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45707</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45707</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45707</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45707</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45707</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45707</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45707</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45707</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45707</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45707</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45707</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45707</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45707</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45707</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45707</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45707</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45707</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45707</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45707</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45707</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45707</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45707</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45707</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45707</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45707</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45707</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45707</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45707</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45707</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45707</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45707</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45707</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45707</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45707</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45707</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45707</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45707</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45707</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45707</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45707</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45707</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45707</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45707</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45707</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45707</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45707</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45707</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45707</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45707</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45707</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45707</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45707</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45707</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45707</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45707</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45707</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45707</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45707</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45707</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45707</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45707</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45707</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45707</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45707</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45707</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45707</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45707</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45707</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45707</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45707</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45707</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45707</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45707</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45707</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45707</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45707</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45707</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45707</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45707</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45707</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45707</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45707</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45707</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45707</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45707</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45707</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45707</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45707</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45707</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45707</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45707</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45707</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45707</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45707</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45707</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45707</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45707</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45707</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45707</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45707</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45707</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45707</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45707</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45707</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45707</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45707</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45707</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45707</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45707</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45707</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45707</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45707</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45707</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45707</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45707</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45707</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45707</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45707</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45707</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45707</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45707</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45707</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45707</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45707</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45707</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45707</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45707</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45707</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45707</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45707</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45707</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45707</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45707</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45707</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45707</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45707</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45707</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45707</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45707</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45707</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45707</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45707</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45707</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45707</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45707</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45707</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45707</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45707</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45707</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45707</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45707</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45707</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45707</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45707</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45707</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45707</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45707</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45707</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45707</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45707</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45707</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45707</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45707</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45707</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45707</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45707</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45707</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45707</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45707</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45707</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45707</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45707</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45707</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45707</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45707</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45707</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45707</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45707</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45707</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45707</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45707</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45707</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45707</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45707</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45707</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45707</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45707</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45707</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45707</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45707</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45707</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45707</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45707</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45707</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45707</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45707</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45707</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45707</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45707</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45707</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45707</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45707</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45707</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45707</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45707</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45707</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45707</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45707</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45707</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45707</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45707</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45707</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45707</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45707</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45707</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45707</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45707</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45707</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45707</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45707</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45707</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45707</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45707</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45707</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45707</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45707</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45707</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45707</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45707</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45707</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45707</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45707</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45707</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45707</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45707</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45707</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45707</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45707</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45707</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45707</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45707</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45707</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45707</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45707</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45707</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45707</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45707</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45707</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45707</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45707</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45707</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45707</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45707</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45707</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45707</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45707</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45707</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45707</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45707</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45707</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45707</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45707</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45707</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45707</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45707</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45707</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45707</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45707</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45707</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45707</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45707</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45707</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45707</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45707</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45707</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45707</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45707</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45707</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45707</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45707</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45707</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45707</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45707</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45707</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45707</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45707</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45707</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45707</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45707</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45707</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45707</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45707</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45707</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45707</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45707</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45707</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45707</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45707</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45707</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45707</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45707</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45707</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45707</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45707</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45707</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45707</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45707</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45707</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45707</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45707</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45707</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45707</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45707</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45707</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45707</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45707</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45707</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45707</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45707</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45707</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45707</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45707</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45707</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45707</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45707</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45707</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45707</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45707</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45707</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45707</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45707</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45707</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45707</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45707</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45707</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45707</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45707</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45707</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45707</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45707</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45707</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45707</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45707</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45707</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45707</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45707</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45707</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45707</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45707</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45707</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45707</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45707</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45707</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45707</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45707</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45707</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45707</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45707</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45707</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45707</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45707</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45707</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45707</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45707</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45707</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45707</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45707</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45707</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45707</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45707</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45707</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45707</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45707</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45707</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45707</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45707</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45707</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45707</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45707</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45707</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45707</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45707</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45707</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45707</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45707</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45707</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45707</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45707</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45707</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45707</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45707</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45707</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45707</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45707</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45707</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45707</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45707</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45707</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45707</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45707</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45707</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45707</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45707</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45707</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45707</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45707</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45707</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45707</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45707</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45707</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45707</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45707</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45707</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45707</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45707</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45707</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45707</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45707</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45707</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45707</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45707</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45707</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45707</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45707</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45707</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45707</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45707</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45707</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45707</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45707</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45707</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45707</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45707</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45707</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45707</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45707</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45707</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45707</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45707</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45707</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45707</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45707</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45707</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45707</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45707</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45707</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45707</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45707</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45707</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45707</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45707</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45707</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45707</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45707</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45707</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45707</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45707</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45707</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45707</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45707</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45707</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45707</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45707</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45707</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45707</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45707</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45707</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45707</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45707</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45707</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45707</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45707</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45707</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45707</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45707</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45707</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45707</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45707</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45707</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45707</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45707</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45707</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45707</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45707</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45707</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45707</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45707</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45707</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45707</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45707</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45707</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45707</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45707</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45707</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45707</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45707</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45707</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45707</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45707</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45707</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45707</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45707</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45707</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45707</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45707</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45707</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45707</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45707</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45707</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45707</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45707</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45707</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45707</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45707</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45707</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45707</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45707</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45707</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45707</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45707</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45707</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45707</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45707</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45707</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45707</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45707</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45707</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45707</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45707</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45707</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45707</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45707</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45707</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45707</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45707</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45707</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45707</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45707</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45707</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45707</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45707</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45707</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45707</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45707</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45707</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45707</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45707</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45707</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45707</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45707</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45707</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45707</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45707</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45707</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45707</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45707</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45707</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45707</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45707</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45707</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45707</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45707</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45707</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45707</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45707</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45707</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45707</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45707</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45707</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45707</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45707</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45707</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45707</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45707</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45707</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45707</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45707</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45707</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45707</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45707</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45707</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45707</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45707</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45707</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45707</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45707</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45707</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45707</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45707</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45707</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45707</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45707</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45707</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45707</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45707</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45707</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45707</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45707</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45707</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45707</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45707</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45707</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45707</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45707</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45707</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45707</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45707</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45707</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45707</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45707</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45707</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45707</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45707</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45707</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45707</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45707</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45707</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45707</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45707</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45707</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45707</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45707</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45707</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45707</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45707</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45707</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45707</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45707</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45707</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45707</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45707</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45707</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45707</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45707</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45707</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45707</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45707</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45707</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45707</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45707</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45707</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45707</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45707</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45707</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45707</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45707</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45707</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45707</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45707</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45707</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45707</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45707</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45707</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45707</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45707</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45707</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45707</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45707</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45707</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45707</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45707</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45707</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45707</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45707</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45707</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45707</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45707</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45707</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45707</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45707</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45707</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45707</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45707</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45707</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45707</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45707</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45707</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45707</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45707</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45707</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45707</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45707</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45707</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45707</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45707</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45707</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45707</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45707</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45707</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45707</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45707</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45707</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45707</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45707</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45707</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45707</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45707</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45707</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45707</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45707</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45707</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45707</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45707</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45707</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45707</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45707</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45707</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45707</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45707</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45707</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45707</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45707</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45707</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45707</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45707</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45707</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45707</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45707</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45707</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45707</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45707</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45707</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45707</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45707</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45707</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45707</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45707</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45707</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45707</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45707</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45707</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45707</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45707</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45707</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45707</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45707</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45707</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45707</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45707</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45707</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45707</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45707</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45707</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45707</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45707</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45707</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45707</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45707</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45707</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45707</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45707</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45707</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45707</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45707</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45707</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45707</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45707</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45707</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45707</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45707</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45707</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45707</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45707</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45707</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45707</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45707</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45707</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45707</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45707</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45707</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45707</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45707</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45707</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45707</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45707</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45707</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45707</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45707</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45707</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45707</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45707</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45707</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45707</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45707</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45707</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45707</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45707</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45707</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45707</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45707</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45707</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45707</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45707</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45707</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45707</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45707</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45707</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45707</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45707</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45707</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45707</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45707</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45707</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45707</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45707</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45707</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45707</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45707</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45707</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45707</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45707</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45707</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45707</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45707</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45707</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45707</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45707</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45707</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45707</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45707</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45707</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45707</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45707</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45707</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45707</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45707</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45707</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45707</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45707</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45707</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45707</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45707</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45707</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45707</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45707</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45707</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45707</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45707</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45707</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45707</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45707</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45707</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45707</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45707</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45707</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45707</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45707</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45707</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45707</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45707</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45707</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45707</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45707</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45707</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45707</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45707</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45707</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45707</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45707</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45707</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45707</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45707</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45707</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45707</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45707</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45707</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45707</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45707</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45707</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45707</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45707</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45707</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45707</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45707</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45707</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45707</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45707</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45707</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45707</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45707</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45707</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45707</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45707</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45707</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45707</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45707</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45707</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45707</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45707</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45707</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45707</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45707</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45707</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45707</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45707</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45707</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45707</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45707</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45707</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45707</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45707</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45707</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45707</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45707</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45707</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45707</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45707</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45707</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45707</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45707</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45707</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45707</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45707</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45707</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45707</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45707</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45707</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45707</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45707</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45707</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45707</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45707</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45707</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45707</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45707</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45707</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45707</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45707</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45707</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45707</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45707</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45707</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45707</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45707</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45707</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45707</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45707</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45707</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45707</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45707</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45707</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45707</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45707</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45707</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45707</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45707</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45707</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45707</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45707</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45707</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45707</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45707</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45707</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45707</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45707</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45707</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45707</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45707</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45707</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45707</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45707</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45707</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45707</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45707</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45707</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45707</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45707</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45707</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45707</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45707</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45707</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45707</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45707</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45707</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45707</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45707</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45707</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45707</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45707</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45707</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45707</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45707</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45707</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45707</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45707</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45707</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45707</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45707</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45707</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45707</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45707</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45707</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45707</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45707</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45707</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45707</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45707</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45707</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45707</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45707</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45707</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45707</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45707</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45707</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45707</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45707</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45707</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45707</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45707</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45707</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45707</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45707</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45707</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45707</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45707</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45707</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45707</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45707</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45707</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45707</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45707</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45707</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45707</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45707</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45707</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45707</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45707</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45707</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45707</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45707</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45707</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45707</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45707</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45707</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45707</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45707</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45707</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45707</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45707</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45707</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45707</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45707</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45707</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45707</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45707</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45707</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45707</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45707</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45707</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45707</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45707</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45707</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45707</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45707</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45707</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45707</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45707</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45707</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45707</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45707</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45707</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45707</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45707</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45707</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45707</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45707</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45707</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45707</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45707</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45707</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45707</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45707</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45707</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45707</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45707</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45707</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45707</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45707</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45707</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45707</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45707</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45707</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45707</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45707</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45707</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45707</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45707</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45707</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45707</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45707</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45707</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45707</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45707</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45707</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45707</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45707</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45707</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45707</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45707</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45707</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45707</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45707</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45707</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45707</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45707</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45707</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45707</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45707</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45707</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45707</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45707</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45707</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45707</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45707</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45707</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45707</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45707</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45707</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45707</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45707</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45707</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45707</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45707</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45707</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45707</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45707</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45707</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45707</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45707</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45707</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45707</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45707</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45707</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45707</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45707</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45707</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45707</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45707</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45707</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45707</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45707</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45707</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45707</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45707</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45707</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45707</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45707</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45707</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45707</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45707</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45707</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45707</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45707</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45707</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45707</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45707</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45707</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45707</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45707</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45707</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45707</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45707</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45707</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45707</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45707</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45707</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45707</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45707</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45707</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45707</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45707</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45707</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45707</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45707</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45707</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45707</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45707</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45707</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45707</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45707</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45707</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45707</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45707</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45707</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45707</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45707</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45707</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45707</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45707</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45707</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45707</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45707</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45707</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45707</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45707</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45707</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45707</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45707</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45707</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45707</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45707</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45707</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45707</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45707</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45707</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45707</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45707</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45707</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45707</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45707</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45707</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45707</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45707</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45707</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45707</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45707</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45707</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45707</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45707</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45707</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45707</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45707</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45707</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45707</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45707</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45707</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45707</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45707</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45707</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45707</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45707</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45707</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45707</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45707</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45707</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45707</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45707</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45707</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45707</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45707</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45707</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45707</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45707</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45707</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45707</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45707</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45707</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45707</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45707</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45707</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45707</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45707</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45707</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45707</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45707</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45707</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45707</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45707</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45707</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45707</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45707</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45707</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45707</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45707</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45707</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45707</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45707</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45707</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45707</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45707</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45707</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45707</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45707</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45707</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45707</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45707</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45707</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45707</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45707</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45707</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45707</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45707</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45707</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45707</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45707</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45707</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45707</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45707</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45707</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45707</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45707</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45707</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45707</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45707</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45707</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45707</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45707</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45707</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45707</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45707</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45707</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45707</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45707</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45707</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45707</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45707</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45707</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45707</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45707</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45707</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45707</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45707</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45707</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45707</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45707</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45707</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45707</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45707</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45707</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45707</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45707</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45707</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45707</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45707</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45707</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45707</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45707</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45707</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45707</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45707</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45707</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45707</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45707</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45707</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45707</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45707</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45707</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45707</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45707</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45707</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45707</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45707</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45707</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45707</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45707</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45707</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45707</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45707</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45707</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45707</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45707</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45707</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45707</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45707</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45707</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45707</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45707</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45707</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45707</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45707</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45707</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45707</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45707</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45707</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45707</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45707</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45707</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45707</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45707</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45707</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45707</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45707</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45707</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45707</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45707</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45707</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45707</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45707</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45707</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45707</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45707</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45707</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45707</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45707</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45707</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45707</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45707</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45707</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45707</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45707</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45707</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45707</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45707</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45707</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45707</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45707</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45707</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45707</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45707</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45707</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45707</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45707</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45707</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45707</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45707</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45707</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45707</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45707</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45707</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45707</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45707</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45707</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45707</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45707</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45707</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45707</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45707</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45707</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45707</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45707</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45707</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45707</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45707</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45707</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45707</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45707</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45707</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45707</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45707</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45707</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45707</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45707</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45707</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45707</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45707</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45707</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45707</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45707</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45707</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45707</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45707</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45707</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45707</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45707</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45707</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45707</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45707</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45707</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45707</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45707</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45707</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45707</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45707</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45707</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45707</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45707</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45707</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45707</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45707</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45707</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45707</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45707</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45707</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45707</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45707</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45707</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45707</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45707</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45707</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45707</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45707</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45707</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45707</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45707</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45707</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45707</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45707</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45707</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45707</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45707</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45707</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45707</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45707</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45707</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45707</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45707</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45707</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45707</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45707</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45707</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45707</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45707</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45707</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45707</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45707</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45707</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45707</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45707</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45707</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45707</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45707</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45707</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45707</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45707</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45707</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45707</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45707</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45707</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45707</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45707</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45707</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45707</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45707</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45707</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45707</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45707</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45707</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45707</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45707</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45707</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45707</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45707</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45707</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45707</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45707</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45707</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45707</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45707</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45707</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45707</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45707</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45707</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45707</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45707</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45707</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45707</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45707</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45707</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45707</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45707</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45707</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45707</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45707</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45707</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45707</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45707</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45707</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45707</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45707</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45707</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45707</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45707</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45707</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45707</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45707</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45707</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45707</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45707</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45707</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45707</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45707</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45707</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45707</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45707</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45707</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45707</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45707</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45707</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45707</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45707</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45707</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45707</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45707</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45707</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45707</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45707</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45707</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45707</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45707</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45707</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45707</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45707</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45707</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45707</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45707</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45707</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45707</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45707</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45707</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45707</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45707</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45707</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45707</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45707</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45707</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45707</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45707</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45707</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45707</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45707</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45707</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45707</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45707</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45707</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45707</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45707</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45707</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45707</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45707</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45707</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45707</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45707</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45707</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45707</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45707</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45707</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45707</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45707</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45707</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45707</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45707</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45707</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45707</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45707</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45707</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45707</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45707</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45707</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45707</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45707</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45707</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45707</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45707</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45707</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45707</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45707</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45707</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45707</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45707</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45707</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45707</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45707</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45707</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45707</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45707</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45707</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45707</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45707</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45707</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45707</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45707</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45707</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45707</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45707</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45707</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45707</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45707</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45707</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45707</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45707</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45707</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45707</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45707</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45707</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45707</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45707</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45707</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45707</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45707</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45707</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45707</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45707</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45707</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45707</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45707</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45707</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45707</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45707</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45707</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45707</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45707</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45707</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45707</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45707</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45707</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45707</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45707</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45707</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45707</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45707</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45707</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45707</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45707</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45707</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45707</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45707</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45707</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45707</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45707</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45707</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45707</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45707</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45707</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45707</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45707</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45707</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45707</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45707</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45707</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45707</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45707</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45707</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45707</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45707</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45707</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45707</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45707</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45707</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45707</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45707</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45707</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45707</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45707</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45707</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45707</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45707</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45707</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45707</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45707</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45707</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45707</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45707</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45707</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45707</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45707</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45707</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45707</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45707</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45707</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45707</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45707</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45707</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45707</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45707</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45707</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45707</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45707</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45707</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45707</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45707</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45707</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45707</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45707</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45707</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45707</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45707</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45707</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45707</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45707</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45707</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45707</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45707</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45707</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45707</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45707</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45707</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45707</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45707</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45707</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45707</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45707</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45707</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45707</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45707</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45707</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45707</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45707</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45707</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45707</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45707</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45707</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45707</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45707</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45707</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45707</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45707</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45707</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45707</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45707</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45707</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45707</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45707</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45707</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45707</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45707</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45707</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45707</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45707</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45707</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45707</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45707</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45707</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45707</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45707</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45707</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45707</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45707</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45707</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45707</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45707</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45707</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45707</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45707</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45707</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45707</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45707</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45707</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45707</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45707</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45707</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45707</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45707</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45707</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45707</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45707</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45707</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45707</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45707</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45707</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45707</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45707</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45707</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45707</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45707</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45707</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45707</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45707</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45707</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45707</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45707</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45707</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45707</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45707</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45707</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45707</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45707</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45707</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45707</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45707</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45707</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45707</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45707</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45707</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45707</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45707</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45707</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45707</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45707</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45707</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45707</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45707</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45707</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45707</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45707</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45707</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45707</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45707</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45707</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45707</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45707</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45707</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45707</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45707</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45707</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45707</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45707</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45707</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45707</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45707</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45707</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45707</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45707</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45707</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45707</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45707</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45707</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45707</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45707</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45707</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45707</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45707</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45707</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45707</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45707</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45707</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45707</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45707</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45707</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45707</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45707</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45707</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45707</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45707</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45707</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45707</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45707</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45707</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45707</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45707</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45707</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45707</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45707</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45707</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45707</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45707</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45707</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45707</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45707</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45707</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45707</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45707</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45707</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45707</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45707</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45707</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45707</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45707</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45707</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45707</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45707</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45707</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45707</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45707</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45707</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45707</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45707</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45707</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45707</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45707</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45707</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45707</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45707</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45707</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45707</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45707</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45707</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45707</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45707</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45707</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45707</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45707</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45707</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45707</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45707</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45707</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45707</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45707</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45707</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45707</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45707</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45707</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45707</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45707</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45707</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45707</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45707</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45707</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45707</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45707</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45707</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45707</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45707</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45707</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45707</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45707</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45707</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45707</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45707</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45707</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45707</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45707</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45707</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45707</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45707</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45707</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45707</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45707</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45707</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45707</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45707</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45707</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45707</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45707</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45707</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45707</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45707</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45707</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45707</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45707</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45707</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45707</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45707</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45707</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45707</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45707</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45707</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45707</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45707</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45707</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45707</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45707</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45707</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45707</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45707</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45707</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45707</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45707</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45707</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45707</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45707</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45707</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45707</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45707</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45707</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45707</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45707</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45707</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45707</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45707</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45707</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45707</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45707</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45707</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2936-2025</t>
        </is>
      </c>
      <c r="B14397" s="1" t="n">
        <v>45678</v>
      </c>
      <c r="C14397" s="1" t="n">
        <v>45707</v>
      </c>
      <c r="D14397" t="inlineStr">
        <is>
          <t>DALARNAS LÄN</t>
        </is>
      </c>
      <c r="E14397" t="inlineStr">
        <is>
          <t>RÄTTVIK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2948-2025</t>
        </is>
      </c>
      <c r="B14398" s="1" t="n">
        <v>45678</v>
      </c>
      <c r="C14398" s="1" t="n">
        <v>45707</v>
      </c>
      <c r="D14398" t="inlineStr">
        <is>
          <t>DALARNAS LÄN</t>
        </is>
      </c>
      <c r="E14398" t="inlineStr">
        <is>
          <t>ORSA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2993-2025</t>
        </is>
      </c>
      <c r="B14399" s="1" t="n">
        <v>45678</v>
      </c>
      <c r="C14399" s="1" t="n">
        <v>45707</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45707</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45707</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2994-2025</t>
        </is>
      </c>
      <c r="B14402" s="1" t="n">
        <v>45678</v>
      </c>
      <c r="C14402" s="1" t="n">
        <v>45707</v>
      </c>
      <c r="D14402" t="inlineStr">
        <is>
          <t>DALARNAS LÄN</t>
        </is>
      </c>
      <c r="E14402" t="inlineStr">
        <is>
          <t>VANSBRO</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2991-2025</t>
        </is>
      </c>
      <c r="B14403" s="1" t="n">
        <v>45678</v>
      </c>
      <c r="C14403" s="1" t="n">
        <v>45707</v>
      </c>
      <c r="D14403" t="inlineStr">
        <is>
          <t>DALARNAS LÄN</t>
        </is>
      </c>
      <c r="E14403" t="inlineStr">
        <is>
          <t>FALUN</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2943-2025</t>
        </is>
      </c>
      <c r="B14404" s="1" t="n">
        <v>45678</v>
      </c>
      <c r="C14404" s="1" t="n">
        <v>45707</v>
      </c>
      <c r="D14404" t="inlineStr">
        <is>
          <t>DALARNAS LÄN</t>
        </is>
      </c>
      <c r="E14404" t="inlineStr">
        <is>
          <t>FALUN</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3128-2025</t>
        </is>
      </c>
      <c r="B14405" s="1" t="n">
        <v>45678</v>
      </c>
      <c r="C14405" s="1" t="n">
        <v>45707</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3132-2025</t>
        </is>
      </c>
      <c r="B14406" s="1" t="n">
        <v>45678</v>
      </c>
      <c r="C14406" s="1" t="n">
        <v>45707</v>
      </c>
      <c r="D14406" t="inlineStr">
        <is>
          <t>DALARNAS LÄN</t>
        </is>
      </c>
      <c r="E14406" t="inlineStr">
        <is>
          <t>FALUN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45707</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3107-2025</t>
        </is>
      </c>
      <c r="B14408" s="1" t="n">
        <v>45678</v>
      </c>
      <c r="C14408" s="1" t="n">
        <v>45707</v>
      </c>
      <c r="D14408" t="inlineStr">
        <is>
          <t>DALARNAS LÄN</t>
        </is>
      </c>
      <c r="E14408" t="inlineStr">
        <is>
          <t>ORSA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3131-2025</t>
        </is>
      </c>
      <c r="B14409" s="1" t="n">
        <v>45678</v>
      </c>
      <c r="C14409" s="1" t="n">
        <v>45707</v>
      </c>
      <c r="D14409" t="inlineStr">
        <is>
          <t>DALARNAS LÄN</t>
        </is>
      </c>
      <c r="E14409" t="inlineStr">
        <is>
          <t>FALUN</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3167-2025</t>
        </is>
      </c>
      <c r="B14410" s="1" t="n">
        <v>45679</v>
      </c>
      <c r="C14410" s="1" t="n">
        <v>45707</v>
      </c>
      <c r="D14410" t="inlineStr">
        <is>
          <t>DALARNAS LÄN</t>
        </is>
      </c>
      <c r="E14410" t="inlineStr">
        <is>
          <t>VANSBRO</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3183-2025</t>
        </is>
      </c>
      <c r="B14411" s="1" t="n">
        <v>45679</v>
      </c>
      <c r="C14411" s="1" t="n">
        <v>45707</v>
      </c>
      <c r="D14411" t="inlineStr">
        <is>
          <t>DALARNAS LÄN</t>
        </is>
      </c>
      <c r="E14411" t="inlineStr">
        <is>
          <t>LEKSAND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3170-2025</t>
        </is>
      </c>
      <c r="B14412" s="1" t="n">
        <v>45679</v>
      </c>
      <c r="C14412" s="1" t="n">
        <v>45707</v>
      </c>
      <c r="D14412" t="inlineStr">
        <is>
          <t>DALARNAS LÄN</t>
        </is>
      </c>
      <c r="E14412" t="inlineStr">
        <is>
          <t>LUDVIKA</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3172-2025</t>
        </is>
      </c>
      <c r="B14413" s="1" t="n">
        <v>45679</v>
      </c>
      <c r="C14413" s="1" t="n">
        <v>45707</v>
      </c>
      <c r="D14413" t="inlineStr">
        <is>
          <t>DALARNAS LÄN</t>
        </is>
      </c>
      <c r="E14413" t="inlineStr">
        <is>
          <t>MALUNG-SÄLEN</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3196-2025</t>
        </is>
      </c>
      <c r="B14414" s="1" t="n">
        <v>45679</v>
      </c>
      <c r="C14414" s="1" t="n">
        <v>45707</v>
      </c>
      <c r="D14414" t="inlineStr">
        <is>
          <t>DALARNAS LÄN</t>
        </is>
      </c>
      <c r="E14414" t="inlineStr">
        <is>
          <t>ÄLVDALEN</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3201-2025</t>
        </is>
      </c>
      <c r="B14415" s="1" t="n">
        <v>45679</v>
      </c>
      <c r="C14415" s="1" t="n">
        <v>45707</v>
      </c>
      <c r="D14415" t="inlineStr">
        <is>
          <t>DALARNAS LÄN</t>
        </is>
      </c>
      <c r="E14415" t="inlineStr">
        <is>
          <t>LEKSAND</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3198-2025</t>
        </is>
      </c>
      <c r="B14416" s="1" t="n">
        <v>45679</v>
      </c>
      <c r="C14416" s="1" t="n">
        <v>45707</v>
      </c>
      <c r="D14416" t="inlineStr">
        <is>
          <t>DALARNAS LÄN</t>
        </is>
      </c>
      <c r="E14416" t="inlineStr">
        <is>
          <t>LEKSAND</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45707</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3261-2025</t>
        </is>
      </c>
      <c r="B14418" s="1" t="n">
        <v>45679</v>
      </c>
      <c r="C14418" s="1" t="n">
        <v>45707</v>
      </c>
      <c r="D14418" t="inlineStr">
        <is>
          <t>DALARNAS LÄN</t>
        </is>
      </c>
      <c r="E14418" t="inlineStr">
        <is>
          <t>RÄTTVIK</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3309-2025</t>
        </is>
      </c>
      <c r="B14419" s="1" t="n">
        <v>45679</v>
      </c>
      <c r="C14419" s="1" t="n">
        <v>45707</v>
      </c>
      <c r="D14419" t="inlineStr">
        <is>
          <t>DALARNAS LÄN</t>
        </is>
      </c>
      <c r="E14419" t="inlineStr">
        <is>
          <t>LEKSAND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3380-2025</t>
        </is>
      </c>
      <c r="B14420" s="1" t="n">
        <v>45680</v>
      </c>
      <c r="C14420" s="1" t="n">
        <v>45707</v>
      </c>
      <c r="D14420" t="inlineStr">
        <is>
          <t>DALARNAS LÄN</t>
        </is>
      </c>
      <c r="E14420" t="inlineStr">
        <is>
          <t>LUDVIKA</t>
        </is>
      </c>
      <c r="G14420" t="n">
        <v>11.9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3391-2025</t>
        </is>
      </c>
      <c r="B14421" s="1" t="n">
        <v>45680</v>
      </c>
      <c r="C14421" s="1" t="n">
        <v>45707</v>
      </c>
      <c r="D14421" t="inlineStr">
        <is>
          <t>DALARNAS LÄN</t>
        </is>
      </c>
      <c r="E14421" t="inlineStr">
        <is>
          <t>LUDVIKA</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3378-2025</t>
        </is>
      </c>
      <c r="B14422" s="1" t="n">
        <v>45680</v>
      </c>
      <c r="C14422" s="1" t="n">
        <v>45707</v>
      </c>
      <c r="D14422" t="inlineStr">
        <is>
          <t>DALARNAS LÄN</t>
        </is>
      </c>
      <c r="E14422" t="inlineStr">
        <is>
          <t>VANSBRO</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45707</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3509-2025</t>
        </is>
      </c>
      <c r="B14424" s="1" t="n">
        <v>45680</v>
      </c>
      <c r="C14424" s="1" t="n">
        <v>45707</v>
      </c>
      <c r="D14424" t="inlineStr">
        <is>
          <t>DALARNAS LÄN</t>
        </is>
      </c>
      <c r="E14424" t="inlineStr">
        <is>
          <t>GAGNEF</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3470-2025</t>
        </is>
      </c>
      <c r="B14425" s="1" t="n">
        <v>45680</v>
      </c>
      <c r="C14425" s="1" t="n">
        <v>45707</v>
      </c>
      <c r="D14425" t="inlineStr">
        <is>
          <t>DALARNAS LÄN</t>
        </is>
      </c>
      <c r="E14425" t="inlineStr">
        <is>
          <t>LUDVIKA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3474-2025</t>
        </is>
      </c>
      <c r="B14426" s="1" t="n">
        <v>45680</v>
      </c>
      <c r="C14426" s="1" t="n">
        <v>45707</v>
      </c>
      <c r="D14426" t="inlineStr">
        <is>
          <t>DALARNAS LÄN</t>
        </is>
      </c>
      <c r="E14426" t="inlineStr">
        <is>
          <t>RÄTTVIK</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3482-2025</t>
        </is>
      </c>
      <c r="B14427" s="1" t="n">
        <v>45680</v>
      </c>
      <c r="C14427" s="1" t="n">
        <v>45707</v>
      </c>
      <c r="D14427" t="inlineStr">
        <is>
          <t>DALARNAS LÄN</t>
        </is>
      </c>
      <c r="E14427" t="inlineStr">
        <is>
          <t>VANSBRO</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3468-2025</t>
        </is>
      </c>
      <c r="B14428" s="1" t="n">
        <v>45680</v>
      </c>
      <c r="C14428" s="1" t="n">
        <v>45707</v>
      </c>
      <c r="D14428" t="inlineStr">
        <is>
          <t>DALARNAS LÄN</t>
        </is>
      </c>
      <c r="E14428" t="inlineStr">
        <is>
          <t>LUDVIKA</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3510-2025</t>
        </is>
      </c>
      <c r="B14429" s="1" t="n">
        <v>45680</v>
      </c>
      <c r="C14429" s="1" t="n">
        <v>45707</v>
      </c>
      <c r="D14429" t="inlineStr">
        <is>
          <t>DALARNAS LÄN</t>
        </is>
      </c>
      <c r="E14429" t="inlineStr">
        <is>
          <t>GAGNEF</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3500-2025</t>
        </is>
      </c>
      <c r="B14430" s="1" t="n">
        <v>45680</v>
      </c>
      <c r="C14430" s="1" t="n">
        <v>45707</v>
      </c>
      <c r="D14430" t="inlineStr">
        <is>
          <t>DALARNAS LÄN</t>
        </is>
      </c>
      <c r="E14430" t="inlineStr">
        <is>
          <t>LEKSAND</t>
        </is>
      </c>
      <c r="G14430" t="n">
        <v>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3411-2025</t>
        </is>
      </c>
      <c r="B14431" s="1" t="n">
        <v>45680</v>
      </c>
      <c r="C14431" s="1" t="n">
        <v>45707</v>
      </c>
      <c r="D14431" t="inlineStr">
        <is>
          <t>DALARNAS LÄN</t>
        </is>
      </c>
      <c r="E14431" t="inlineStr">
        <is>
          <t>GAGNEF</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3423-2025</t>
        </is>
      </c>
      <c r="B14432" s="1" t="n">
        <v>45680</v>
      </c>
      <c r="C14432" s="1" t="n">
        <v>45707</v>
      </c>
      <c r="D14432" t="inlineStr">
        <is>
          <t>DALARNAS LÄN</t>
        </is>
      </c>
      <c r="E14432" t="inlineStr">
        <is>
          <t>RÄTTVIK</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45707</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45707</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45707</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3723-2025</t>
        </is>
      </c>
      <c r="B14436" s="1" t="n">
        <v>45681</v>
      </c>
      <c r="C14436" s="1" t="n">
        <v>45707</v>
      </c>
      <c r="D14436" t="inlineStr">
        <is>
          <t>DALARNAS LÄN</t>
        </is>
      </c>
      <c r="E14436" t="inlineStr">
        <is>
          <t>AVESTA</t>
        </is>
      </c>
      <c r="G14436" t="n">
        <v>15.3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3819-2025</t>
        </is>
      </c>
      <c r="B14437" s="1" t="n">
        <v>45681</v>
      </c>
      <c r="C14437" s="1" t="n">
        <v>45707</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45707</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45707</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45707</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3825-2025</t>
        </is>
      </c>
      <c r="B14441" s="1" t="n">
        <v>45681</v>
      </c>
      <c r="C14441" s="1" t="n">
        <v>45707</v>
      </c>
      <c r="D14441" t="inlineStr">
        <is>
          <t>DALARNAS LÄN</t>
        </is>
      </c>
      <c r="E14441" t="inlineStr">
        <is>
          <t>HEDEMORA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3940-2025</t>
        </is>
      </c>
      <c r="B14442" s="1" t="n">
        <v>45684</v>
      </c>
      <c r="C14442" s="1" t="n">
        <v>45707</v>
      </c>
      <c r="D14442" t="inlineStr">
        <is>
          <t>DALARNAS LÄN</t>
        </is>
      </c>
      <c r="E14442" t="inlineStr">
        <is>
          <t>HEDEMORA</t>
        </is>
      </c>
      <c r="G14442" t="n">
        <v>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3880-2025</t>
        </is>
      </c>
      <c r="B14443" s="1" t="n">
        <v>45684</v>
      </c>
      <c r="C14443" s="1" t="n">
        <v>45707</v>
      </c>
      <c r="D14443" t="inlineStr">
        <is>
          <t>DALARNAS LÄN</t>
        </is>
      </c>
      <c r="E14443" t="inlineStr">
        <is>
          <t>MALUNG-SÄLEN</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3942-2025</t>
        </is>
      </c>
      <c r="B14444" s="1" t="n">
        <v>45684</v>
      </c>
      <c r="C14444" s="1" t="n">
        <v>45707</v>
      </c>
      <c r="D14444" t="inlineStr">
        <is>
          <t>DALARNAS LÄN</t>
        </is>
      </c>
      <c r="E14444" t="inlineStr">
        <is>
          <t>HEDEMORA</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4074-2025</t>
        </is>
      </c>
      <c r="B14445" s="1" t="n">
        <v>45684</v>
      </c>
      <c r="C14445" s="1" t="n">
        <v>45707</v>
      </c>
      <c r="D14445" t="inlineStr">
        <is>
          <t>DALARNAS LÄN</t>
        </is>
      </c>
      <c r="E14445" t="inlineStr">
        <is>
          <t>MALUNG-SÄLEN</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3970-2025</t>
        </is>
      </c>
      <c r="B14446" s="1" t="n">
        <v>45684</v>
      </c>
      <c r="C14446" s="1" t="n">
        <v>45707</v>
      </c>
      <c r="D14446" t="inlineStr">
        <is>
          <t>DALARNAS LÄN</t>
        </is>
      </c>
      <c r="E14446" t="inlineStr">
        <is>
          <t>SMEDJEBACKEN</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3990-2025</t>
        </is>
      </c>
      <c r="B14447" s="1" t="n">
        <v>45684</v>
      </c>
      <c r="C14447" s="1" t="n">
        <v>45707</v>
      </c>
      <c r="D14447" t="inlineStr">
        <is>
          <t>DALARNAS LÄN</t>
        </is>
      </c>
      <c r="E14447" t="inlineStr">
        <is>
          <t>AVESTA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4015-2025</t>
        </is>
      </c>
      <c r="B14448" s="1" t="n">
        <v>45684</v>
      </c>
      <c r="C14448" s="1" t="n">
        <v>45707</v>
      </c>
      <c r="D14448" t="inlineStr">
        <is>
          <t>DALARNAS LÄN</t>
        </is>
      </c>
      <c r="E14448" t="inlineStr">
        <is>
          <t>RÄTTVIK</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45707</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4204-2025</t>
        </is>
      </c>
      <c r="B14450" s="1" t="n">
        <v>45685</v>
      </c>
      <c r="C14450" s="1" t="n">
        <v>45707</v>
      </c>
      <c r="D14450" t="inlineStr">
        <is>
          <t>DALARNAS LÄN</t>
        </is>
      </c>
      <c r="E14450" t="inlineStr">
        <is>
          <t>ORSA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4173-2025</t>
        </is>
      </c>
      <c r="B14451" s="1" t="n">
        <v>45685</v>
      </c>
      <c r="C14451" s="1" t="n">
        <v>45707</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45707</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4294-2025</t>
        </is>
      </c>
      <c r="B14453" s="1" t="n">
        <v>45685</v>
      </c>
      <c r="C14453" s="1" t="n">
        <v>45707</v>
      </c>
      <c r="D14453" t="inlineStr">
        <is>
          <t>DALARNAS LÄN</t>
        </is>
      </c>
      <c r="E14453" t="inlineStr">
        <is>
          <t>FALUN</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4291-2025</t>
        </is>
      </c>
      <c r="B14454" s="1" t="n">
        <v>45685</v>
      </c>
      <c r="C14454" s="1" t="n">
        <v>45707</v>
      </c>
      <c r="D14454" t="inlineStr">
        <is>
          <t>DALARNAS LÄN</t>
        </is>
      </c>
      <c r="E14454" t="inlineStr">
        <is>
          <t>VANSBRO</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45707</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4202-2025</t>
        </is>
      </c>
      <c r="B14456" s="1" t="n">
        <v>45685</v>
      </c>
      <c r="C14456" s="1" t="n">
        <v>45707</v>
      </c>
      <c r="D14456" t="inlineStr">
        <is>
          <t>DALARNAS LÄN</t>
        </is>
      </c>
      <c r="E14456" t="inlineStr">
        <is>
          <t>ORSA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4257-2025</t>
        </is>
      </c>
      <c r="B14457" s="1" t="n">
        <v>45685</v>
      </c>
      <c r="C14457" s="1" t="n">
        <v>45707</v>
      </c>
      <c r="D14457" t="inlineStr">
        <is>
          <t>DALARNAS LÄN</t>
        </is>
      </c>
      <c r="E14457" t="inlineStr">
        <is>
          <t>SMEDJEBACKEN</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4414-2025</t>
        </is>
      </c>
      <c r="B14458" s="1" t="n">
        <v>45686</v>
      </c>
      <c r="C14458" s="1" t="n">
        <v>45707</v>
      </c>
      <c r="D14458" t="inlineStr">
        <is>
          <t>DALARNAS LÄN</t>
        </is>
      </c>
      <c r="E14458" t="inlineStr">
        <is>
          <t>RÄTTVIK</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4365-2025</t>
        </is>
      </c>
      <c r="B14459" s="1" t="n">
        <v>45686</v>
      </c>
      <c r="C14459" s="1" t="n">
        <v>45707</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4355-2025</t>
        </is>
      </c>
      <c r="B14460" s="1" t="n">
        <v>45686</v>
      </c>
      <c r="C14460" s="1" t="n">
        <v>45707</v>
      </c>
      <c r="D14460" t="inlineStr">
        <is>
          <t>DALARNAS LÄN</t>
        </is>
      </c>
      <c r="E14460" t="inlineStr">
        <is>
          <t>RÄTTVIK</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4417-2025</t>
        </is>
      </c>
      <c r="B14461" s="1" t="n">
        <v>45686</v>
      </c>
      <c r="C14461" s="1" t="n">
        <v>45707</v>
      </c>
      <c r="D14461" t="inlineStr">
        <is>
          <t>DALARNAS LÄN</t>
        </is>
      </c>
      <c r="E14461" t="inlineStr">
        <is>
          <t>RÄTTVIK</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45707</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4544-2025</t>
        </is>
      </c>
      <c r="B14463" s="1" t="n">
        <v>45687</v>
      </c>
      <c r="C14463" s="1" t="n">
        <v>45707</v>
      </c>
      <c r="D14463" t="inlineStr">
        <is>
          <t>DALARNAS LÄN</t>
        </is>
      </c>
      <c r="E14463" t="inlineStr">
        <is>
          <t>LUDVIKA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4533-2025</t>
        </is>
      </c>
      <c r="B14464" s="1" t="n">
        <v>45687</v>
      </c>
      <c r="C14464" s="1" t="n">
        <v>45707</v>
      </c>
      <c r="D14464" t="inlineStr">
        <is>
          <t>DALARNAS LÄN</t>
        </is>
      </c>
      <c r="E14464" t="inlineStr">
        <is>
          <t>FALUN</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4553-2025</t>
        </is>
      </c>
      <c r="B14465" s="1" t="n">
        <v>45687</v>
      </c>
      <c r="C14465" s="1" t="n">
        <v>45707</v>
      </c>
      <c r="D14465" t="inlineStr">
        <is>
          <t>DALARNAS LÄN</t>
        </is>
      </c>
      <c r="E14465" t="inlineStr">
        <is>
          <t>ORSA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4566-2025</t>
        </is>
      </c>
      <c r="B14466" s="1" t="n">
        <v>45687</v>
      </c>
      <c r="C14466" s="1" t="n">
        <v>45707</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4613-2025</t>
        </is>
      </c>
      <c r="B14467" s="1" t="n">
        <v>45687</v>
      </c>
      <c r="C14467" s="1" t="n">
        <v>45707</v>
      </c>
      <c r="D14467" t="inlineStr">
        <is>
          <t>DALARNAS LÄN</t>
        </is>
      </c>
      <c r="E14467" t="inlineStr">
        <is>
          <t>MALUNG-SÄLEN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4550-2025</t>
        </is>
      </c>
      <c r="B14468" s="1" t="n">
        <v>45687</v>
      </c>
      <c r="C14468" s="1" t="n">
        <v>45707</v>
      </c>
      <c r="D14468" t="inlineStr">
        <is>
          <t>DALARNAS LÄN</t>
        </is>
      </c>
      <c r="E14468" t="inlineStr">
        <is>
          <t>LUDVIKA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45707</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4567-2025</t>
        </is>
      </c>
      <c r="B14470" s="1" t="n">
        <v>45687</v>
      </c>
      <c r="C14470" s="1" t="n">
        <v>45707</v>
      </c>
      <c r="D14470" t="inlineStr">
        <is>
          <t>DALARNAS LÄN</t>
        </is>
      </c>
      <c r="E14470" t="inlineStr">
        <is>
          <t>MALUNG-SÄLEN</t>
        </is>
      </c>
      <c r="G14470" t="n">
        <v>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45707</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45707</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45707</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4760-2025</t>
        </is>
      </c>
      <c r="B14474" s="1" t="n">
        <v>45688</v>
      </c>
      <c r="C14474" s="1" t="n">
        <v>45707</v>
      </c>
      <c r="D14474" t="inlineStr">
        <is>
          <t>DALARNAS LÄN</t>
        </is>
      </c>
      <c r="E14474" t="inlineStr">
        <is>
          <t>VANSBRO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4764-2025</t>
        </is>
      </c>
      <c r="B14475" s="1" t="n">
        <v>45688</v>
      </c>
      <c r="C14475" s="1" t="n">
        <v>45707</v>
      </c>
      <c r="D14475" t="inlineStr">
        <is>
          <t>DALARNAS LÄN</t>
        </is>
      </c>
      <c r="E14475" t="inlineStr">
        <is>
          <t>MORA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4768-2025</t>
        </is>
      </c>
      <c r="B14476" s="1" t="n">
        <v>45688</v>
      </c>
      <c r="C14476" s="1" t="n">
        <v>45707</v>
      </c>
      <c r="D14476" t="inlineStr">
        <is>
          <t>DALARNAS LÄN</t>
        </is>
      </c>
      <c r="E14476" t="inlineStr">
        <is>
          <t>MORA</t>
        </is>
      </c>
      <c r="G14476" t="n">
        <v>7.3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45707</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4772-2025</t>
        </is>
      </c>
      <c r="B14478" s="1" t="n">
        <v>45688</v>
      </c>
      <c r="C14478" s="1" t="n">
        <v>45707</v>
      </c>
      <c r="D14478" t="inlineStr">
        <is>
          <t>DALARNAS LÄN</t>
        </is>
      </c>
      <c r="E14478" t="inlineStr">
        <is>
          <t>LUDVIKA</t>
        </is>
      </c>
      <c r="G14478" t="n">
        <v>15.9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4721-2025</t>
        </is>
      </c>
      <c r="B14479" s="1" t="n">
        <v>45688</v>
      </c>
      <c r="C14479" s="1" t="n">
        <v>45707</v>
      </c>
      <c r="D14479" t="inlineStr">
        <is>
          <t>DALARNAS LÄN</t>
        </is>
      </c>
      <c r="E14479" t="inlineStr">
        <is>
          <t>SMEDJEBACKEN</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4782-2025</t>
        </is>
      </c>
      <c r="B14480" s="1" t="n">
        <v>45688</v>
      </c>
      <c r="C14480" s="1" t="n">
        <v>45707</v>
      </c>
      <c r="D14480" t="inlineStr">
        <is>
          <t>DALARNAS LÄN</t>
        </is>
      </c>
      <c r="E14480" t="inlineStr">
        <is>
          <t>LUDVIKA</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4794-2025</t>
        </is>
      </c>
      <c r="B14481" s="1" t="n">
        <v>45688</v>
      </c>
      <c r="C14481" s="1" t="n">
        <v>45707</v>
      </c>
      <c r="D14481" t="inlineStr">
        <is>
          <t>DALARNAS LÄN</t>
        </is>
      </c>
      <c r="E14481" t="inlineStr">
        <is>
          <t>LEKSAND</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45707</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4952-2025</t>
        </is>
      </c>
      <c r="B14483" s="1" t="n">
        <v>45689</v>
      </c>
      <c r="C14483" s="1" t="n">
        <v>45707</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4954-2025</t>
        </is>
      </c>
      <c r="B14484" s="1" t="n">
        <v>45689</v>
      </c>
      <c r="C14484" s="1" t="n">
        <v>45707</v>
      </c>
      <c r="D14484" t="inlineStr">
        <is>
          <t>DALARNAS LÄN</t>
        </is>
      </c>
      <c r="E14484" t="inlineStr">
        <is>
          <t>VANSBRO</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4951-2025</t>
        </is>
      </c>
      <c r="B14485" s="1" t="n">
        <v>45689</v>
      </c>
      <c r="C14485" s="1" t="n">
        <v>45707</v>
      </c>
      <c r="D14485" t="inlineStr">
        <is>
          <t>DALARNAS LÄN</t>
        </is>
      </c>
      <c r="E14485" t="inlineStr">
        <is>
          <t>VANSBRO</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4955-2025</t>
        </is>
      </c>
      <c r="B14486" s="1" t="n">
        <v>45689</v>
      </c>
      <c r="C14486" s="1" t="n">
        <v>45707</v>
      </c>
      <c r="D14486" t="inlineStr">
        <is>
          <t>DALARNAS LÄN</t>
        </is>
      </c>
      <c r="E14486" t="inlineStr">
        <is>
          <t>VANSBRO</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45707</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45707</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5017-2025</t>
        </is>
      </c>
      <c r="B14489" s="1" t="n">
        <v>45691</v>
      </c>
      <c r="C14489" s="1" t="n">
        <v>45707</v>
      </c>
      <c r="D14489" t="inlineStr">
        <is>
          <t>DALARNAS LÄN</t>
        </is>
      </c>
      <c r="E14489" t="inlineStr">
        <is>
          <t>VANSBRO</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4994-2025</t>
        </is>
      </c>
      <c r="B14490" s="1" t="n">
        <v>45691</v>
      </c>
      <c r="C14490" s="1" t="n">
        <v>45707</v>
      </c>
      <c r="D14490" t="inlineStr">
        <is>
          <t>DALARNAS LÄN</t>
        </is>
      </c>
      <c r="E14490" t="inlineStr">
        <is>
          <t>MORA</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5019-2025</t>
        </is>
      </c>
      <c r="B14491" s="1" t="n">
        <v>45691</v>
      </c>
      <c r="C14491" s="1" t="n">
        <v>45707</v>
      </c>
      <c r="D14491" t="inlineStr">
        <is>
          <t>DALARNAS LÄN</t>
        </is>
      </c>
      <c r="E14491" t="inlineStr">
        <is>
          <t>VANSBRO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45707</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45707</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45707</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45707</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45707</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5384-2025</t>
        </is>
      </c>
      <c r="B14497" s="1" t="n">
        <v>45692</v>
      </c>
      <c r="C14497" s="1" t="n">
        <v>45707</v>
      </c>
      <c r="D14497" t="inlineStr">
        <is>
          <t>DALARNAS LÄN</t>
        </is>
      </c>
      <c r="E14497" t="inlineStr">
        <is>
          <t>BORLÄNGE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5435-2025</t>
        </is>
      </c>
      <c r="B14498" s="1" t="n">
        <v>45692</v>
      </c>
      <c r="C14498" s="1" t="n">
        <v>45707</v>
      </c>
      <c r="D14498" t="inlineStr">
        <is>
          <t>DALARNAS LÄN</t>
        </is>
      </c>
      <c r="E14498" t="inlineStr">
        <is>
          <t>ORSA</t>
        </is>
      </c>
      <c r="G14498" t="n">
        <v>7.8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5343-2025</t>
        </is>
      </c>
      <c r="B14499" s="1" t="n">
        <v>45692</v>
      </c>
      <c r="C14499" s="1" t="n">
        <v>45707</v>
      </c>
      <c r="D14499" t="inlineStr">
        <is>
          <t>DALARNAS LÄN</t>
        </is>
      </c>
      <c r="E14499" t="inlineStr">
        <is>
          <t>GAGNEF</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5387-2025</t>
        </is>
      </c>
      <c r="B14500" s="1" t="n">
        <v>45692</v>
      </c>
      <c r="C14500" s="1" t="n">
        <v>45707</v>
      </c>
      <c r="D14500" t="inlineStr">
        <is>
          <t>DALARNAS LÄN</t>
        </is>
      </c>
      <c r="E14500" t="inlineStr">
        <is>
          <t>FALUN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5399-2025</t>
        </is>
      </c>
      <c r="B14501" s="1" t="n">
        <v>45692</v>
      </c>
      <c r="C14501" s="1" t="n">
        <v>45707</v>
      </c>
      <c r="D14501" t="inlineStr">
        <is>
          <t>DALARNAS LÄN</t>
        </is>
      </c>
      <c r="E14501" t="inlineStr">
        <is>
          <t>MALUNG-SÄLEN</t>
        </is>
      </c>
      <c r="G14501" t="n">
        <v>11.4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5347-2025</t>
        </is>
      </c>
      <c r="B14502" s="1" t="n">
        <v>45692</v>
      </c>
      <c r="C14502" s="1" t="n">
        <v>45707</v>
      </c>
      <c r="D14502" t="inlineStr">
        <is>
          <t>DALARNAS LÄN</t>
        </is>
      </c>
      <c r="E14502" t="inlineStr">
        <is>
          <t>GAGNEF</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5369-2025</t>
        </is>
      </c>
      <c r="B14503" s="1" t="n">
        <v>45692</v>
      </c>
      <c r="C14503" s="1" t="n">
        <v>45707</v>
      </c>
      <c r="D14503" t="inlineStr">
        <is>
          <t>DALARNAS LÄN</t>
        </is>
      </c>
      <c r="E14503" t="inlineStr">
        <is>
          <t>MALUNG-SÄLEN</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5418-2025</t>
        </is>
      </c>
      <c r="B14504" s="1" t="n">
        <v>45692</v>
      </c>
      <c r="C14504" s="1" t="n">
        <v>45707</v>
      </c>
      <c r="D14504" t="inlineStr">
        <is>
          <t>DALARNAS LÄN</t>
        </is>
      </c>
      <c r="E14504" t="inlineStr">
        <is>
          <t>MORA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5453-2025</t>
        </is>
      </c>
      <c r="B14505" s="1" t="n">
        <v>45692</v>
      </c>
      <c r="C14505" s="1" t="n">
        <v>45707</v>
      </c>
      <c r="D14505" t="inlineStr">
        <is>
          <t>DALARNAS LÄN</t>
        </is>
      </c>
      <c r="E14505" t="inlineStr">
        <is>
          <t>LEKSAND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5529-2025</t>
        </is>
      </c>
      <c r="B14506" s="1" t="n">
        <v>45693</v>
      </c>
      <c r="C14506" s="1" t="n">
        <v>45707</v>
      </c>
      <c r="D14506" t="inlineStr">
        <is>
          <t>DALARNAS LÄN</t>
        </is>
      </c>
      <c r="E14506" t="inlineStr">
        <is>
          <t>BORLÄNGE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5583-2025</t>
        </is>
      </c>
      <c r="B14507" s="1" t="n">
        <v>45693</v>
      </c>
      <c r="C14507" s="1" t="n">
        <v>45707</v>
      </c>
      <c r="D14507" t="inlineStr">
        <is>
          <t>DALARNAS LÄN</t>
        </is>
      </c>
      <c r="E14507" t="inlineStr">
        <is>
          <t>ÄLVDALEN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45707</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5666-2025</t>
        </is>
      </c>
      <c r="B14509" s="1" t="n">
        <v>45693</v>
      </c>
      <c r="C14509" s="1" t="n">
        <v>45707</v>
      </c>
      <c r="D14509" t="inlineStr">
        <is>
          <t>DALARNAS LÄN</t>
        </is>
      </c>
      <c r="E14509" t="inlineStr">
        <is>
          <t>FALUN</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5519-2025</t>
        </is>
      </c>
      <c r="B14510" s="1" t="n">
        <v>45693</v>
      </c>
      <c r="C14510" s="1" t="n">
        <v>45707</v>
      </c>
      <c r="D14510" t="inlineStr">
        <is>
          <t>DALARNAS LÄN</t>
        </is>
      </c>
      <c r="E14510" t="inlineStr">
        <is>
          <t>GAGNEF</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5651-2025</t>
        </is>
      </c>
      <c r="B14511" s="1" t="n">
        <v>45693</v>
      </c>
      <c r="C14511" s="1" t="n">
        <v>45707</v>
      </c>
      <c r="D14511" t="inlineStr">
        <is>
          <t>DALARNAS LÄN</t>
        </is>
      </c>
      <c r="E14511" t="inlineStr">
        <is>
          <t>RÄTTVIK</t>
        </is>
      </c>
      <c r="F14511" t="inlineStr">
        <is>
          <t>Bergvik skog väst AB</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5689-2025</t>
        </is>
      </c>
      <c r="B14512" s="1" t="n">
        <v>45694</v>
      </c>
      <c r="C14512" s="1" t="n">
        <v>45707</v>
      </c>
      <c r="D14512" t="inlineStr">
        <is>
          <t>DALARNAS LÄN</t>
        </is>
      </c>
      <c r="E14512" t="inlineStr">
        <is>
          <t>AVESTA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5747-2025</t>
        </is>
      </c>
      <c r="B14513" s="1" t="n">
        <v>45694</v>
      </c>
      <c r="C14513" s="1" t="n">
        <v>45707</v>
      </c>
      <c r="D14513" t="inlineStr">
        <is>
          <t>DALARNAS LÄN</t>
        </is>
      </c>
      <c r="E14513" t="inlineStr">
        <is>
          <t>SÄTER</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5733-2025</t>
        </is>
      </c>
      <c r="B14514" s="1" t="n">
        <v>45694</v>
      </c>
      <c r="C14514" s="1" t="n">
        <v>45707</v>
      </c>
      <c r="D14514" t="inlineStr">
        <is>
          <t>DALARNAS LÄN</t>
        </is>
      </c>
      <c r="E14514" t="inlineStr">
        <is>
          <t>FALUN</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5769-2025</t>
        </is>
      </c>
      <c r="B14515" s="1" t="n">
        <v>45694</v>
      </c>
      <c r="C14515" s="1" t="n">
        <v>45707</v>
      </c>
      <c r="D14515" t="inlineStr">
        <is>
          <t>DALARNAS LÄN</t>
        </is>
      </c>
      <c r="E14515" t="inlineStr">
        <is>
          <t>MORA</t>
        </is>
      </c>
      <c r="G14515" t="n">
        <v>15.7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5802-2025</t>
        </is>
      </c>
      <c r="B14516" s="1" t="n">
        <v>45694</v>
      </c>
      <c r="C14516" s="1" t="n">
        <v>45707</v>
      </c>
      <c r="D14516" t="inlineStr">
        <is>
          <t>DALARNAS LÄN</t>
        </is>
      </c>
      <c r="E14516" t="inlineStr">
        <is>
          <t>BORLÄNGE</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5690-2025</t>
        </is>
      </c>
      <c r="B14517" s="1" t="n">
        <v>45694</v>
      </c>
      <c r="C14517" s="1" t="n">
        <v>45707</v>
      </c>
      <c r="D14517" t="inlineStr">
        <is>
          <t>DALARNAS LÄN</t>
        </is>
      </c>
      <c r="E14517" t="inlineStr">
        <is>
          <t>RÄTTVIK</t>
        </is>
      </c>
      <c r="F14517" t="inlineStr">
        <is>
          <t>Bergvik skog väst AB</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5835-2025</t>
        </is>
      </c>
      <c r="B14518" s="1" t="n">
        <v>45694</v>
      </c>
      <c r="C14518" s="1" t="n">
        <v>45707</v>
      </c>
      <c r="D14518" t="inlineStr">
        <is>
          <t>DALARNAS LÄN</t>
        </is>
      </c>
      <c r="E14518" t="inlineStr">
        <is>
          <t>GAGNEF</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5813-2025</t>
        </is>
      </c>
      <c r="B14519" s="1" t="n">
        <v>45694</v>
      </c>
      <c r="C14519" s="1" t="n">
        <v>45707</v>
      </c>
      <c r="D14519" t="inlineStr">
        <is>
          <t>DALARNAS LÄN</t>
        </is>
      </c>
      <c r="E14519" t="inlineStr">
        <is>
          <t>ÄLVDALEN</t>
        </is>
      </c>
      <c r="F14519" t="inlineStr">
        <is>
          <t>Övriga statliga verk och myndigheter</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5734-2025</t>
        </is>
      </c>
      <c r="B14520" s="1" t="n">
        <v>45694</v>
      </c>
      <c r="C14520" s="1" t="n">
        <v>45707</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5738-2025</t>
        </is>
      </c>
      <c r="B14521" s="1" t="n">
        <v>45694</v>
      </c>
      <c r="C14521" s="1" t="n">
        <v>45707</v>
      </c>
      <c r="D14521" t="inlineStr">
        <is>
          <t>DALARNAS LÄN</t>
        </is>
      </c>
      <c r="E14521" t="inlineStr">
        <is>
          <t>FALUN</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45707</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5815-2025</t>
        </is>
      </c>
      <c r="B14523" s="1" t="n">
        <v>45694</v>
      </c>
      <c r="C14523" s="1" t="n">
        <v>45707</v>
      </c>
      <c r="D14523" t="inlineStr">
        <is>
          <t>DALARNAS LÄN</t>
        </is>
      </c>
      <c r="E14523" t="inlineStr">
        <is>
          <t>ORSA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5837-2025</t>
        </is>
      </c>
      <c r="B14524" s="1" t="n">
        <v>45694</v>
      </c>
      <c r="C14524" s="1" t="n">
        <v>45707</v>
      </c>
      <c r="D14524" t="inlineStr">
        <is>
          <t>DALARNAS LÄN</t>
        </is>
      </c>
      <c r="E14524" t="inlineStr">
        <is>
          <t>MALUNG-SÄLEN</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5847-2025</t>
        </is>
      </c>
      <c r="B14525" s="1" t="n">
        <v>45695</v>
      </c>
      <c r="C14525" s="1" t="n">
        <v>45707</v>
      </c>
      <c r="D14525" t="inlineStr">
        <is>
          <t>DALARNAS LÄN</t>
        </is>
      </c>
      <c r="E14525" t="inlineStr">
        <is>
          <t>LEKSAND</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5859-2025</t>
        </is>
      </c>
      <c r="B14526" s="1" t="n">
        <v>45695</v>
      </c>
      <c r="C14526" s="1" t="n">
        <v>45707</v>
      </c>
      <c r="D14526" t="inlineStr">
        <is>
          <t>DALARNAS LÄN</t>
        </is>
      </c>
      <c r="E14526" t="inlineStr">
        <is>
          <t>GAGNEF</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5921-2025</t>
        </is>
      </c>
      <c r="B14527" s="1" t="n">
        <v>45695</v>
      </c>
      <c r="C14527" s="1" t="n">
        <v>45707</v>
      </c>
      <c r="D14527" t="inlineStr">
        <is>
          <t>DALARNAS LÄN</t>
        </is>
      </c>
      <c r="E14527" t="inlineStr">
        <is>
          <t>ORSA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5980-2025</t>
        </is>
      </c>
      <c r="B14528" s="1" t="n">
        <v>45695</v>
      </c>
      <c r="C14528" s="1" t="n">
        <v>45707</v>
      </c>
      <c r="D14528" t="inlineStr">
        <is>
          <t>DALARNAS LÄN</t>
        </is>
      </c>
      <c r="E14528" t="inlineStr">
        <is>
          <t>MORA</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5953-2025</t>
        </is>
      </c>
      <c r="B14529" s="1" t="n">
        <v>45695</v>
      </c>
      <c r="C14529" s="1" t="n">
        <v>45707</v>
      </c>
      <c r="D14529" t="inlineStr">
        <is>
          <t>DALARNAS LÄN</t>
        </is>
      </c>
      <c r="E14529" t="inlineStr">
        <is>
          <t>RÄTTVIK</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5873-2025</t>
        </is>
      </c>
      <c r="B14530" s="1" t="n">
        <v>45695</v>
      </c>
      <c r="C14530" s="1" t="n">
        <v>45707</v>
      </c>
      <c r="D14530" t="inlineStr">
        <is>
          <t>DALARNAS LÄN</t>
        </is>
      </c>
      <c r="E14530" t="inlineStr">
        <is>
          <t>LEKSAND</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5922-2025</t>
        </is>
      </c>
      <c r="B14531" s="1" t="n">
        <v>45695</v>
      </c>
      <c r="C14531" s="1" t="n">
        <v>45707</v>
      </c>
      <c r="D14531" t="inlineStr">
        <is>
          <t>DALARNAS LÄN</t>
        </is>
      </c>
      <c r="E14531" t="inlineStr">
        <is>
          <t>MORA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6027-2025</t>
        </is>
      </c>
      <c r="B14532" s="1" t="n">
        <v>45695</v>
      </c>
      <c r="C14532" s="1" t="n">
        <v>45707</v>
      </c>
      <c r="D14532" t="inlineStr">
        <is>
          <t>DALARNAS LÄN</t>
        </is>
      </c>
      <c r="E14532" t="inlineStr">
        <is>
          <t>LEKSAND</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6030-2025</t>
        </is>
      </c>
      <c r="B14533" s="1" t="n">
        <v>45695</v>
      </c>
      <c r="C14533" s="1" t="n">
        <v>45707</v>
      </c>
      <c r="D14533" t="inlineStr">
        <is>
          <t>DALARNAS LÄN</t>
        </is>
      </c>
      <c r="E14533" t="inlineStr">
        <is>
          <t>LEKSAND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6010-2025</t>
        </is>
      </c>
      <c r="B14534" s="1" t="n">
        <v>45695</v>
      </c>
      <c r="C14534" s="1" t="n">
        <v>45707</v>
      </c>
      <c r="D14534" t="inlineStr">
        <is>
          <t>DALARNAS LÄN</t>
        </is>
      </c>
      <c r="E14534" t="inlineStr">
        <is>
          <t>FALUN</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6177-2025</t>
        </is>
      </c>
      <c r="B14535" s="1" t="n">
        <v>45698</v>
      </c>
      <c r="C14535" s="1" t="n">
        <v>45707</v>
      </c>
      <c r="D14535" t="inlineStr">
        <is>
          <t>DALARNAS LÄN</t>
        </is>
      </c>
      <c r="E14535" t="inlineStr">
        <is>
          <t>SMEDJEBACKEN</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6280-2025</t>
        </is>
      </c>
      <c r="B14536" s="1" t="n">
        <v>45698</v>
      </c>
      <c r="C14536" s="1" t="n">
        <v>45707</v>
      </c>
      <c r="D14536" t="inlineStr">
        <is>
          <t>DALARNAS LÄN</t>
        </is>
      </c>
      <c r="E14536" t="inlineStr">
        <is>
          <t>SMEDJEBACKEN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6171-2025</t>
        </is>
      </c>
      <c r="B14537" s="1" t="n">
        <v>45698</v>
      </c>
      <c r="C14537" s="1" t="n">
        <v>45707</v>
      </c>
      <c r="D14537" t="inlineStr">
        <is>
          <t>DALARNAS LÄN</t>
        </is>
      </c>
      <c r="E14537" t="inlineStr">
        <is>
          <t>ORSA</t>
        </is>
      </c>
      <c r="G14537" t="n">
        <v>11.1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6349-2025</t>
        </is>
      </c>
      <c r="B14538" s="1" t="n">
        <v>45699</v>
      </c>
      <c r="C14538" s="1" t="n">
        <v>45707</v>
      </c>
      <c r="D14538" t="inlineStr">
        <is>
          <t>DALARNAS LÄN</t>
        </is>
      </c>
      <c r="E14538" t="inlineStr">
        <is>
          <t>GAGNEF</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6520-2025</t>
        </is>
      </c>
      <c r="B14539" s="1" t="n">
        <v>45699</v>
      </c>
      <c r="C14539" s="1" t="n">
        <v>45707</v>
      </c>
      <c r="D14539" t="inlineStr">
        <is>
          <t>DALARNAS LÄN</t>
        </is>
      </c>
      <c r="E14539" t="inlineStr">
        <is>
          <t>MORA</t>
        </is>
      </c>
      <c r="G14539" t="n">
        <v>18.2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6462-2025</t>
        </is>
      </c>
      <c r="B14540" s="1" t="n">
        <v>45699</v>
      </c>
      <c r="C14540" s="1" t="n">
        <v>45707</v>
      </c>
      <c r="D14540" t="inlineStr">
        <is>
          <t>DALARNAS LÄN</t>
        </is>
      </c>
      <c r="E14540" t="inlineStr">
        <is>
          <t>FALUN</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6519-2025</t>
        </is>
      </c>
      <c r="B14541" s="1" t="n">
        <v>45699</v>
      </c>
      <c r="C14541" s="1" t="n">
        <v>45707</v>
      </c>
      <c r="D14541" t="inlineStr">
        <is>
          <t>DALARNAS LÄN</t>
        </is>
      </c>
      <c r="E14541" t="inlineStr">
        <is>
          <t>LEKSAND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6604-2025</t>
        </is>
      </c>
      <c r="B14542" s="1" t="n">
        <v>45700</v>
      </c>
      <c r="C14542" s="1" t="n">
        <v>45707</v>
      </c>
      <c r="D14542" t="inlineStr">
        <is>
          <t>DALARNAS LÄN</t>
        </is>
      </c>
      <c r="E14542" t="inlineStr">
        <is>
          <t>SMEDJEBACKEN</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6679-2025</t>
        </is>
      </c>
      <c r="B14543" s="1" t="n">
        <v>45700</v>
      </c>
      <c r="C14543" s="1" t="n">
        <v>45707</v>
      </c>
      <c r="D14543" t="inlineStr">
        <is>
          <t>DALARNAS LÄN</t>
        </is>
      </c>
      <c r="E14543" t="inlineStr">
        <is>
          <t>ÄLVDALEN</t>
        </is>
      </c>
      <c r="F14543" t="inlineStr">
        <is>
          <t>Allmännings- och besparingsskogar</t>
        </is>
      </c>
      <c r="G14543" t="n">
        <v>27.8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45707</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6640-2025</t>
        </is>
      </c>
      <c r="B14545" s="1" t="n">
        <v>45700</v>
      </c>
      <c r="C14545" s="1" t="n">
        <v>45707</v>
      </c>
      <c r="D14545" t="inlineStr">
        <is>
          <t>DALARNAS LÄN</t>
        </is>
      </c>
      <c r="E14545" t="inlineStr">
        <is>
          <t>SÄTER</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6606-2025</t>
        </is>
      </c>
      <c r="B14546" s="1" t="n">
        <v>45700</v>
      </c>
      <c r="C14546" s="1" t="n">
        <v>45707</v>
      </c>
      <c r="D14546" t="inlineStr">
        <is>
          <t>DALARNAS LÄN</t>
        </is>
      </c>
      <c r="E14546" t="inlineStr">
        <is>
          <t>SMEDJEBACKEN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6643-2025</t>
        </is>
      </c>
      <c r="B14547" s="1" t="n">
        <v>45700</v>
      </c>
      <c r="C14547" s="1" t="n">
        <v>45707</v>
      </c>
      <c r="D14547" t="inlineStr">
        <is>
          <t>DALARNAS LÄN</t>
        </is>
      </c>
      <c r="E14547" t="inlineStr">
        <is>
          <t>VANSBRO</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6699-2025</t>
        </is>
      </c>
      <c r="B14548" s="1" t="n">
        <v>45700</v>
      </c>
      <c r="C14548" s="1" t="n">
        <v>45707</v>
      </c>
      <c r="D14548" t="inlineStr">
        <is>
          <t>DALARNAS LÄN</t>
        </is>
      </c>
      <c r="E14548" t="inlineStr">
        <is>
          <t>RÄTTVIK</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6675-2025</t>
        </is>
      </c>
      <c r="B14549" s="1" t="n">
        <v>45700</v>
      </c>
      <c r="C14549" s="1" t="n">
        <v>45707</v>
      </c>
      <c r="D14549" t="inlineStr">
        <is>
          <t>DALARNAS LÄN</t>
        </is>
      </c>
      <c r="E14549" t="inlineStr">
        <is>
          <t>ÄLVDALEN</t>
        </is>
      </c>
      <c r="F14549" t="inlineStr">
        <is>
          <t>Allmännings- och besparingsskogar</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6791-2025</t>
        </is>
      </c>
      <c r="B14550" s="1" t="n">
        <v>45700</v>
      </c>
      <c r="C14550" s="1" t="n">
        <v>45707</v>
      </c>
      <c r="D14550" t="inlineStr">
        <is>
          <t>DALARNAS LÄN</t>
        </is>
      </c>
      <c r="E14550" t="inlineStr">
        <is>
          <t>ÄLVDALEN</t>
        </is>
      </c>
      <c r="G14550" t="n">
        <v>30.2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6778-2025</t>
        </is>
      </c>
      <c r="B14551" s="1" t="n">
        <v>45700</v>
      </c>
      <c r="C14551" s="1" t="n">
        <v>45707</v>
      </c>
      <c r="D14551" t="inlineStr">
        <is>
          <t>DALARNAS LÄN</t>
        </is>
      </c>
      <c r="E14551" t="inlineStr">
        <is>
          <t>LEKSAND</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6972-2025</t>
        </is>
      </c>
      <c r="B14552" s="1" t="n">
        <v>45701</v>
      </c>
      <c r="C14552" s="1" t="n">
        <v>45707</v>
      </c>
      <c r="D14552" t="inlineStr">
        <is>
          <t>DALARNAS LÄN</t>
        </is>
      </c>
      <c r="E14552" t="inlineStr">
        <is>
          <t>HEDEMORA</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7009-2025</t>
        </is>
      </c>
      <c r="B14553" s="1" t="n">
        <v>45701</v>
      </c>
      <c r="C14553" s="1" t="n">
        <v>45707</v>
      </c>
      <c r="D14553" t="inlineStr">
        <is>
          <t>DALARNAS LÄN</t>
        </is>
      </c>
      <c r="E14553" t="inlineStr">
        <is>
          <t>MALUNG-SÄLEN</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7078-2025</t>
        </is>
      </c>
      <c r="B14554" s="1" t="n">
        <v>45701</v>
      </c>
      <c r="C14554" s="1" t="n">
        <v>45707</v>
      </c>
      <c r="D14554" t="inlineStr">
        <is>
          <t>DALARNAS LÄN</t>
        </is>
      </c>
      <c r="E14554" t="inlineStr">
        <is>
          <t>ÄLVDALEN</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6979-2025</t>
        </is>
      </c>
      <c r="B14555" s="1" t="n">
        <v>45701</v>
      </c>
      <c r="C14555" s="1" t="n">
        <v>45707</v>
      </c>
      <c r="D14555" t="inlineStr">
        <is>
          <t>DALARNAS LÄN</t>
        </is>
      </c>
      <c r="E14555" t="inlineStr">
        <is>
          <t>MALUNG-SÄLEN</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7006-2025</t>
        </is>
      </c>
      <c r="B14556" s="1" t="n">
        <v>45701</v>
      </c>
      <c r="C14556" s="1" t="n">
        <v>45707</v>
      </c>
      <c r="D14556" t="inlineStr">
        <is>
          <t>DALARNAS LÄN</t>
        </is>
      </c>
      <c r="E14556" t="inlineStr">
        <is>
          <t>MALUNG-SÄLEN</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6951-2025</t>
        </is>
      </c>
      <c r="B14557" s="1" t="n">
        <v>45701</v>
      </c>
      <c r="C14557" s="1" t="n">
        <v>45707</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7052-2025</t>
        </is>
      </c>
      <c r="B14558" s="1" t="n">
        <v>45701</v>
      </c>
      <c r="C14558" s="1" t="n">
        <v>45707</v>
      </c>
      <c r="D14558" t="inlineStr">
        <is>
          <t>DALARNAS LÄN</t>
        </is>
      </c>
      <c r="E14558" t="inlineStr">
        <is>
          <t>HEDEMORA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7194-2025</t>
        </is>
      </c>
      <c r="B14559" s="1" t="n">
        <v>45702</v>
      </c>
      <c r="C14559" s="1" t="n">
        <v>45707</v>
      </c>
      <c r="D14559" t="inlineStr">
        <is>
          <t>DALARNAS LÄN</t>
        </is>
      </c>
      <c r="E14559" t="inlineStr">
        <is>
          <t>BORLÄNGE</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7219-2025</t>
        </is>
      </c>
      <c r="B14560" s="1" t="n">
        <v>45702</v>
      </c>
      <c r="C14560" s="1" t="n">
        <v>45707</v>
      </c>
      <c r="D14560" t="inlineStr">
        <is>
          <t>DALARNAS LÄN</t>
        </is>
      </c>
      <c r="E14560" t="inlineStr">
        <is>
          <t>ÄLVDALEN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7282-2025</t>
        </is>
      </c>
      <c r="B14561" s="1" t="n">
        <v>45702</v>
      </c>
      <c r="C14561" s="1" t="n">
        <v>45707</v>
      </c>
      <c r="D14561" t="inlineStr">
        <is>
          <t>DALARNAS LÄN</t>
        </is>
      </c>
      <c r="E14561" t="inlineStr">
        <is>
          <t>FALUN</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7128-2025</t>
        </is>
      </c>
      <c r="B14562" s="1" t="n">
        <v>45702</v>
      </c>
      <c r="C14562" s="1" t="n">
        <v>45707</v>
      </c>
      <c r="D14562" t="inlineStr">
        <is>
          <t>DALARNAS LÄN</t>
        </is>
      </c>
      <c r="E14562" t="inlineStr">
        <is>
          <t>RÄTTVIK</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7172-2025</t>
        </is>
      </c>
      <c r="B14563" s="1" t="n">
        <v>45702</v>
      </c>
      <c r="C14563" s="1" t="n">
        <v>45707</v>
      </c>
      <c r="D14563" t="inlineStr">
        <is>
          <t>DALARNAS LÄN</t>
        </is>
      </c>
      <c r="E14563" t="inlineStr">
        <is>
          <t>HEDEMORA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7217-2025</t>
        </is>
      </c>
      <c r="B14564" s="1" t="n">
        <v>45702</v>
      </c>
      <c r="C14564" s="1" t="n">
        <v>45707</v>
      </c>
      <c r="D14564" t="inlineStr">
        <is>
          <t>DALARNAS LÄN</t>
        </is>
      </c>
      <c r="E14564" t="inlineStr">
        <is>
          <t>ÄLVDALEN</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7275-2025</t>
        </is>
      </c>
      <c r="B14565" s="1" t="n">
        <v>45702</v>
      </c>
      <c r="C14565" s="1" t="n">
        <v>45707</v>
      </c>
      <c r="D14565" t="inlineStr">
        <is>
          <t>DALARNAS LÄN</t>
        </is>
      </c>
      <c r="E14565" t="inlineStr">
        <is>
          <t>SMEDJEBACKEN</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7320-2025</t>
        </is>
      </c>
      <c r="B14566" s="1" t="n">
        <v>45702</v>
      </c>
      <c r="C14566" s="1" t="n">
        <v>45707</v>
      </c>
      <c r="D14566" t="inlineStr">
        <is>
          <t>DALARNAS LÄN</t>
        </is>
      </c>
      <c r="E14566" t="inlineStr">
        <is>
          <t>AVESTA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7232-2025</t>
        </is>
      </c>
      <c r="B14567" s="1" t="n">
        <v>45702</v>
      </c>
      <c r="C14567" s="1" t="n">
        <v>45707</v>
      </c>
      <c r="D14567" t="inlineStr">
        <is>
          <t>DALARNAS LÄN</t>
        </is>
      </c>
      <c r="E14567" t="inlineStr">
        <is>
          <t>ÄLVDALEN</t>
        </is>
      </c>
      <c r="F14567" t="inlineStr">
        <is>
          <t>Allmännings- och besparingsskogar</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7236-2025</t>
        </is>
      </c>
      <c r="B14568" s="1" t="n">
        <v>45702</v>
      </c>
      <c r="C14568" s="1" t="n">
        <v>45707</v>
      </c>
      <c r="D14568" t="inlineStr">
        <is>
          <t>DALARNAS LÄN</t>
        </is>
      </c>
      <c r="E14568" t="inlineStr">
        <is>
          <t>LEKSAND</t>
        </is>
      </c>
      <c r="G14568" t="n">
        <v>6.3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7321-2025</t>
        </is>
      </c>
      <c r="B14569" s="1" t="n">
        <v>45702</v>
      </c>
      <c r="C14569" s="1" t="n">
        <v>45707</v>
      </c>
      <c r="D14569" t="inlineStr">
        <is>
          <t>DALARNAS LÄN</t>
        </is>
      </c>
      <c r="E14569" t="inlineStr">
        <is>
          <t>AVESTA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7507-2025</t>
        </is>
      </c>
      <c r="B14570" s="1" t="n">
        <v>45705</v>
      </c>
      <c r="C14570" s="1" t="n">
        <v>45707</v>
      </c>
      <c r="D14570" t="inlineStr">
        <is>
          <t>DALARNAS LÄN</t>
        </is>
      </c>
      <c r="E14570" t="inlineStr">
        <is>
          <t>ORSA</t>
        </is>
      </c>
      <c r="G14570" t="n">
        <v>25.8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7395-2025</t>
        </is>
      </c>
      <c r="B14571" s="1" t="n">
        <v>45705</v>
      </c>
      <c r="C14571" s="1" t="n">
        <v>45707</v>
      </c>
      <c r="D14571" t="inlineStr">
        <is>
          <t>DALARNAS LÄN</t>
        </is>
      </c>
      <c r="E14571" t="inlineStr">
        <is>
          <t>LEKSAND</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7412-2025</t>
        </is>
      </c>
      <c r="B14572" s="1" t="n">
        <v>45705</v>
      </c>
      <c r="C14572" s="1" t="n">
        <v>45707</v>
      </c>
      <c r="D14572" t="inlineStr">
        <is>
          <t>DALARNAS LÄN</t>
        </is>
      </c>
      <c r="E14572" t="inlineStr">
        <is>
          <t>SMEDJEBACKEN</t>
        </is>
      </c>
      <c r="G14572" t="n">
        <v>5.5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7436-2025</t>
        </is>
      </c>
      <c r="B14573" s="1" t="n">
        <v>45705</v>
      </c>
      <c r="C14573" s="1" t="n">
        <v>45707</v>
      </c>
      <c r="D14573" t="inlineStr">
        <is>
          <t>DALARNAS LÄN</t>
        </is>
      </c>
      <c r="E14573" t="inlineStr">
        <is>
          <t>FALUN</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7552-2025</t>
        </is>
      </c>
      <c r="B14574" s="1" t="n">
        <v>45705</v>
      </c>
      <c r="C14574" s="1" t="n">
        <v>45707</v>
      </c>
      <c r="D14574" t="inlineStr">
        <is>
          <t>DALARNAS LÄN</t>
        </is>
      </c>
      <c r="E14574" t="inlineStr">
        <is>
          <t>MORA</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7526-2025</t>
        </is>
      </c>
      <c r="B14575" s="1" t="n">
        <v>45705</v>
      </c>
      <c r="C14575" s="1" t="n">
        <v>45707</v>
      </c>
      <c r="D14575" t="inlineStr">
        <is>
          <t>DALARNAS LÄN</t>
        </is>
      </c>
      <c r="E14575" t="inlineStr">
        <is>
          <t>LUDVIKA</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7534-2025</t>
        </is>
      </c>
      <c r="B14576" s="1" t="n">
        <v>45705</v>
      </c>
      <c r="C14576" s="1" t="n">
        <v>45707</v>
      </c>
      <c r="D14576" t="inlineStr">
        <is>
          <t>DALARNAS LÄN</t>
        </is>
      </c>
      <c r="E14576" t="inlineStr">
        <is>
          <t>ORSA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7511-2025</t>
        </is>
      </c>
      <c r="B14577" s="1" t="n">
        <v>45705</v>
      </c>
      <c r="C14577" s="1" t="n">
        <v>45707</v>
      </c>
      <c r="D14577" t="inlineStr">
        <is>
          <t>DALARNAS LÄN</t>
        </is>
      </c>
      <c r="E14577" t="inlineStr">
        <is>
          <t>ÄLVDALEN</t>
        </is>
      </c>
      <c r="F14577" t="inlineStr">
        <is>
          <t>Allmännings- och besparingsskogar</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7602-2025</t>
        </is>
      </c>
      <c r="B14578" s="1" t="n">
        <v>45705</v>
      </c>
      <c r="C14578" s="1" t="n">
        <v>45707</v>
      </c>
      <c r="D14578" t="inlineStr">
        <is>
          <t>DALARNAS LÄN</t>
        </is>
      </c>
      <c r="E14578" t="inlineStr">
        <is>
          <t>LEKSAND</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7618-2025</t>
        </is>
      </c>
      <c r="B14579" s="1" t="n">
        <v>45705</v>
      </c>
      <c r="C14579" s="1" t="n">
        <v>45707</v>
      </c>
      <c r="D14579" t="inlineStr">
        <is>
          <t>DALARNAS LÄN</t>
        </is>
      </c>
      <c r="E14579" t="inlineStr">
        <is>
          <t>ORSA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7626-2025</t>
        </is>
      </c>
      <c r="B14580" s="1" t="n">
        <v>45705</v>
      </c>
      <c r="C14580" s="1" t="n">
        <v>45707</v>
      </c>
      <c r="D14580" t="inlineStr">
        <is>
          <t>DALARNAS LÄN</t>
        </is>
      </c>
      <c r="E14580" t="inlineStr">
        <is>
          <t>ORSA</t>
        </is>
      </c>
      <c r="G14580" t="n">
        <v>15.5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7566-2025</t>
        </is>
      </c>
      <c r="B14581" s="1" t="n">
        <v>45705</v>
      </c>
      <c r="C14581" s="1" t="n">
        <v>45707</v>
      </c>
      <c r="D14581" t="inlineStr">
        <is>
          <t>DALARNAS LÄN</t>
        </is>
      </c>
      <c r="E14581" t="inlineStr">
        <is>
          <t>AVESTA</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7587-2025</t>
        </is>
      </c>
      <c r="B14582" s="1" t="n">
        <v>45705</v>
      </c>
      <c r="C14582" s="1" t="n">
        <v>45707</v>
      </c>
      <c r="D14582" t="inlineStr">
        <is>
          <t>DALARNAS LÄN</t>
        </is>
      </c>
      <c r="E14582" t="inlineStr">
        <is>
          <t>FALUN</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7624-2025</t>
        </is>
      </c>
      <c r="B14583" s="1" t="n">
        <v>45705</v>
      </c>
      <c r="C14583" s="1" t="n">
        <v>45707</v>
      </c>
      <c r="D14583" t="inlineStr">
        <is>
          <t>DALARNAS LÄN</t>
        </is>
      </c>
      <c r="E14583" t="inlineStr">
        <is>
          <t>RÄTTVIK</t>
        </is>
      </c>
      <c r="F14583" t="inlineStr">
        <is>
          <t>Bergvik skog väst AB</t>
        </is>
      </c>
      <c r="G14583" t="n">
        <v>8.800000000000001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7628-2025</t>
        </is>
      </c>
      <c r="B14584" s="1" t="n">
        <v>45705</v>
      </c>
      <c r="C14584" s="1" t="n">
        <v>45707</v>
      </c>
      <c r="D14584" t="inlineStr">
        <is>
          <t>DALARNAS LÄN</t>
        </is>
      </c>
      <c r="E14584" t="inlineStr">
        <is>
          <t>ORSA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7565-2025</t>
        </is>
      </c>
      <c r="B14585" s="1" t="n">
        <v>45705</v>
      </c>
      <c r="C14585" s="1" t="n">
        <v>45707</v>
      </c>
      <c r="D14585" t="inlineStr">
        <is>
          <t>DALARNAS LÄN</t>
        </is>
      </c>
      <c r="E14585" t="inlineStr">
        <is>
          <t>MORA</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7573-2025</t>
        </is>
      </c>
      <c r="B14586" s="1" t="n">
        <v>45705</v>
      </c>
      <c r="C14586" s="1" t="n">
        <v>45707</v>
      </c>
      <c r="D14586" t="inlineStr">
        <is>
          <t>DALARNAS LÄN</t>
        </is>
      </c>
      <c r="E14586" t="inlineStr">
        <is>
          <t>RÄTTVIK</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7619-2025</t>
        </is>
      </c>
      <c r="B14587" s="1" t="n">
        <v>45705</v>
      </c>
      <c r="C14587" s="1" t="n">
        <v>45707</v>
      </c>
      <c r="D14587" t="inlineStr">
        <is>
          <t>DALARNAS LÄN</t>
        </is>
      </c>
      <c r="E14587" t="inlineStr">
        <is>
          <t>ORSA</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7605-2025</t>
        </is>
      </c>
      <c r="B14588" s="1" t="n">
        <v>45705</v>
      </c>
      <c r="C14588" s="1" t="n">
        <v>45707</v>
      </c>
      <c r="D14588" t="inlineStr">
        <is>
          <t>DALARNAS LÄN</t>
        </is>
      </c>
      <c r="E14588" t="inlineStr">
        <is>
          <t>MALUNG-SÄLEN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7653-2025</t>
        </is>
      </c>
      <c r="B14589" s="1" t="n">
        <v>45705</v>
      </c>
      <c r="C14589" s="1" t="n">
        <v>45707</v>
      </c>
      <c r="D14589" t="inlineStr">
        <is>
          <t>DALARNAS LÄN</t>
        </is>
      </c>
      <c r="E14589" t="inlineStr">
        <is>
          <t>LEKSAND</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7766-2025</t>
        </is>
      </c>
      <c r="B14590" s="1" t="n">
        <v>45706</v>
      </c>
      <c r="C14590" s="1" t="n">
        <v>45707</v>
      </c>
      <c r="D14590" t="inlineStr">
        <is>
          <t>DALARNAS LÄN</t>
        </is>
      </c>
      <c r="E14590" t="inlineStr">
        <is>
          <t>MORA</t>
        </is>
      </c>
      <c r="G14590" t="n">
        <v>9.699999999999999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7813-2025</t>
        </is>
      </c>
      <c r="B14591" s="1" t="n">
        <v>45706</v>
      </c>
      <c r="C14591" s="1" t="n">
        <v>45707</v>
      </c>
      <c r="D14591" t="inlineStr">
        <is>
          <t>DALARNAS LÄN</t>
        </is>
      </c>
      <c r="E14591" t="inlineStr">
        <is>
          <t>FALUN</t>
        </is>
      </c>
      <c r="F14591" t="inlineStr">
        <is>
          <t>Övriga statliga verk och myndigheter</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7759-2025</t>
        </is>
      </c>
      <c r="B14592" s="1" t="n">
        <v>45706</v>
      </c>
      <c r="C14592" s="1" t="n">
        <v>45707</v>
      </c>
      <c r="D14592" t="inlineStr">
        <is>
          <t>DALARNAS LÄN</t>
        </is>
      </c>
      <c r="E14592" t="inlineStr">
        <is>
          <t>LEKSAND</t>
        </is>
      </c>
      <c r="G14592" t="n">
        <v>3.3</v>
      </c>
      <c r="H14592" t="n">
        <v>0</v>
      </c>
      <c r="I14592" t="n">
        <v>0</v>
      </c>
      <c r="J14592" t="n">
        <v>0</v>
      </c>
      <c r="K14592" t="n">
        <v>0</v>
      </c>
      <c r="L14592" t="n">
        <v>0</v>
      </c>
      <c r="M14592" t="n">
        <v>0</v>
      </c>
      <c r="N14592" t="n">
        <v>0</v>
      </c>
      <c r="O14592" t="n">
        <v>0</v>
      </c>
      <c r="P14592" t="n">
        <v>0</v>
      </c>
      <c r="Q14592" t="n">
        <v>0</v>
      </c>
      <c r="R14592" s="2" t="inlineStr"/>
    </row>
    <row r="14593">
      <c r="A14593" t="inlineStr">
        <is>
          <t>A 7814-2025</t>
        </is>
      </c>
      <c r="B14593" s="1" t="n">
        <v>45706</v>
      </c>
      <c r="C14593" s="1" t="n">
        <v>45707</v>
      </c>
      <c r="D14593" t="inlineStr">
        <is>
          <t>DALARNAS LÄN</t>
        </is>
      </c>
      <c r="E14593" t="inlineStr">
        <is>
          <t>FALUN</t>
        </is>
      </c>
      <c r="F14593" t="inlineStr">
        <is>
          <t>Övriga statliga verk och myndigheter</t>
        </is>
      </c>
      <c r="G14593" t="n">
        <v>1.3</v>
      </c>
      <c r="H14593" t="n">
        <v>0</v>
      </c>
      <c r="I14593" t="n">
        <v>0</v>
      </c>
      <c r="J14593" t="n">
        <v>0</v>
      </c>
      <c r="K14593" t="n">
        <v>0</v>
      </c>
      <c r="L14593" t="n">
        <v>0</v>
      </c>
      <c r="M14593" t="n">
        <v>0</v>
      </c>
      <c r="N14593" t="n">
        <v>0</v>
      </c>
      <c r="O14593" t="n">
        <v>0</v>
      </c>
      <c r="P14593" t="n">
        <v>0</v>
      </c>
      <c r="Q14593" t="n">
        <v>0</v>
      </c>
      <c r="R14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2025-02-19T16:53:07Z</dcterms:created>
  <dcterms:modified xmlns:dcterms="http://purl.org/dc/terms/" xmlns:xsi="http://www.w3.org/2001/XMLSchema-instance" xsi:type="dcterms:W3CDTF">2025-02-19T16:53:20Z</dcterms:modified>
</cp:coreProperties>
</file>